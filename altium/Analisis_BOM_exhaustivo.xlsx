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m713\Desktop\Materias 8vo semestre\Diseño de productos electrónicos\Laboratorio\Practice_number_four\Proyecto_documentos_cubesat\Dise-o-proyecto-CubeSat-UD34-2026-2\Dise-o-proyecto-CubeSat-UD34-2026-2\"/>
    </mc:Choice>
  </mc:AlternateContent>
  <xr:revisionPtr revIDLastSave="0" documentId="13_ncr:1_{6C015786-1358-48CC-9D8C-B06598147D7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esumen" sheetId="1" r:id="rId1"/>
    <sheet name="Supuestos" sheetId="2" r:id="rId2"/>
    <sheet name="BOM_Costos" sheetId="3" r:id="rId3"/>
    <sheet name="Fuente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9" i="3" l="1"/>
  <c r="Y28" i="3"/>
  <c r="D22" i="1" s="1"/>
  <c r="V28" i="3"/>
  <c r="Z28" i="3" s="1"/>
  <c r="T28" i="3"/>
  <c r="C22" i="1" s="1"/>
  <c r="Q28" i="3"/>
  <c r="U28" i="3" s="1"/>
  <c r="O28" i="3"/>
  <c r="B22" i="1" s="1"/>
  <c r="L28" i="3"/>
  <c r="P28" i="3" s="1"/>
  <c r="Y27" i="3"/>
  <c r="V27" i="3"/>
  <c r="Z27" i="3" s="1"/>
  <c r="T27" i="3"/>
  <c r="Q27" i="3"/>
  <c r="U27" i="3" s="1"/>
  <c r="P27" i="3"/>
  <c r="O27" i="3"/>
  <c r="L27" i="3"/>
  <c r="Z26" i="3"/>
  <c r="Y26" i="3"/>
  <c r="V26" i="3"/>
  <c r="T26" i="3"/>
  <c r="Q26" i="3"/>
  <c r="U26" i="3" s="1"/>
  <c r="O26" i="3"/>
  <c r="L26" i="3"/>
  <c r="P26" i="3" s="1"/>
  <c r="X25" i="3"/>
  <c r="Y25" i="3" s="1"/>
  <c r="V25" i="3"/>
  <c r="Z25" i="3" s="1"/>
  <c r="S25" i="3"/>
  <c r="T25" i="3" s="1"/>
  <c r="Q25" i="3"/>
  <c r="U25" i="3" s="1"/>
  <c r="N25" i="3"/>
  <c r="O25" i="3" s="1"/>
  <c r="L25" i="3"/>
  <c r="P25" i="3" s="1"/>
  <c r="Y24" i="3"/>
  <c r="V24" i="3"/>
  <c r="Z24" i="3" s="1"/>
  <c r="U24" i="3"/>
  <c r="T24" i="3"/>
  <c r="Q24" i="3"/>
  <c r="O24" i="3"/>
  <c r="L24" i="3"/>
  <c r="P24" i="3" s="1"/>
  <c r="Y23" i="3"/>
  <c r="V23" i="3"/>
  <c r="Z23" i="3" s="1"/>
  <c r="T23" i="3"/>
  <c r="Q23" i="3"/>
  <c r="U23" i="3" s="1"/>
  <c r="O23" i="3"/>
  <c r="L23" i="3"/>
  <c r="P23" i="3" s="1"/>
  <c r="Y22" i="3"/>
  <c r="V22" i="3"/>
  <c r="Z22" i="3" s="1"/>
  <c r="T22" i="3"/>
  <c r="Q22" i="3"/>
  <c r="U22" i="3" s="1"/>
  <c r="O22" i="3"/>
  <c r="L22" i="3"/>
  <c r="P22" i="3" s="1"/>
  <c r="Y21" i="3"/>
  <c r="D23" i="1" s="1"/>
  <c r="V21" i="3"/>
  <c r="Z21" i="3" s="1"/>
  <c r="T21" i="3"/>
  <c r="Q21" i="3"/>
  <c r="U21" i="3" s="1"/>
  <c r="O21" i="3"/>
  <c r="L21" i="3"/>
  <c r="P21" i="3" s="1"/>
  <c r="Y20" i="3"/>
  <c r="V20" i="3"/>
  <c r="Z20" i="3" s="1"/>
  <c r="T20" i="3"/>
  <c r="Q20" i="3"/>
  <c r="U20" i="3" s="1"/>
  <c r="O20" i="3"/>
  <c r="L20" i="3"/>
  <c r="P20" i="3" s="1"/>
  <c r="Y19" i="3"/>
  <c r="V19" i="3"/>
  <c r="Z19" i="3" s="1"/>
  <c r="T19" i="3"/>
  <c r="Q19" i="3"/>
  <c r="U19" i="3" s="1"/>
  <c r="O19" i="3"/>
  <c r="L19" i="3"/>
  <c r="P19" i="3" s="1"/>
  <c r="Y18" i="3"/>
  <c r="V18" i="3"/>
  <c r="Z18" i="3" s="1"/>
  <c r="T18" i="3"/>
  <c r="Q18" i="3"/>
  <c r="U18" i="3" s="1"/>
  <c r="O18" i="3"/>
  <c r="L18" i="3"/>
  <c r="P18" i="3" s="1"/>
  <c r="Y17" i="3"/>
  <c r="V17" i="3"/>
  <c r="Z17" i="3" s="1"/>
  <c r="T17" i="3"/>
  <c r="Q17" i="3"/>
  <c r="U17" i="3" s="1"/>
  <c r="O17" i="3"/>
  <c r="L17" i="3"/>
  <c r="P17" i="3" s="1"/>
  <c r="Y16" i="3"/>
  <c r="V16" i="3"/>
  <c r="Z16" i="3" s="1"/>
  <c r="T16" i="3"/>
  <c r="Q16" i="3"/>
  <c r="U16" i="3" s="1"/>
  <c r="O16" i="3"/>
  <c r="L16" i="3"/>
  <c r="P16" i="3" s="1"/>
  <c r="Y15" i="3"/>
  <c r="D19" i="1" s="1"/>
  <c r="V15" i="3"/>
  <c r="Z15" i="3" s="1"/>
  <c r="T15" i="3"/>
  <c r="C19" i="1" s="1"/>
  <c r="Q15" i="3"/>
  <c r="U15" i="3" s="1"/>
  <c r="O15" i="3"/>
  <c r="B19" i="1" s="1"/>
  <c r="L15" i="3"/>
  <c r="P15" i="3" s="1"/>
  <c r="Y14" i="3"/>
  <c r="D20" i="1" s="1"/>
  <c r="V14" i="3"/>
  <c r="Z14" i="3" s="1"/>
  <c r="T14" i="3"/>
  <c r="C20" i="1" s="1"/>
  <c r="Q14" i="3"/>
  <c r="U14" i="3" s="1"/>
  <c r="O14" i="3"/>
  <c r="B20" i="1" s="1"/>
  <c r="L14" i="3"/>
  <c r="P14" i="3" s="1"/>
  <c r="Y13" i="3"/>
  <c r="V13" i="3"/>
  <c r="Z13" i="3" s="1"/>
  <c r="T13" i="3"/>
  <c r="Q13" i="3"/>
  <c r="U13" i="3" s="1"/>
  <c r="O13" i="3"/>
  <c r="L13" i="3"/>
  <c r="P13" i="3" s="1"/>
  <c r="Y12" i="3"/>
  <c r="V12" i="3"/>
  <c r="Z12" i="3" s="1"/>
  <c r="T12" i="3"/>
  <c r="Q12" i="3"/>
  <c r="U12" i="3" s="1"/>
  <c r="O12" i="3"/>
  <c r="L12" i="3"/>
  <c r="P12" i="3" s="1"/>
  <c r="Y11" i="3"/>
  <c r="V11" i="3"/>
  <c r="Z11" i="3" s="1"/>
  <c r="T11" i="3"/>
  <c r="Q11" i="3"/>
  <c r="U11" i="3" s="1"/>
  <c r="O11" i="3"/>
  <c r="L11" i="3"/>
  <c r="P11" i="3" s="1"/>
  <c r="Y10" i="3"/>
  <c r="V10" i="3"/>
  <c r="Z10" i="3" s="1"/>
  <c r="T10" i="3"/>
  <c r="Q10" i="3"/>
  <c r="U10" i="3" s="1"/>
  <c r="O10" i="3"/>
  <c r="L10" i="3"/>
  <c r="P10" i="3" s="1"/>
  <c r="Y9" i="3"/>
  <c r="V9" i="3"/>
  <c r="Z9" i="3" s="1"/>
  <c r="T9" i="3"/>
  <c r="Q9" i="3"/>
  <c r="U9" i="3" s="1"/>
  <c r="O9" i="3"/>
  <c r="L9" i="3"/>
  <c r="P9" i="3" s="1"/>
  <c r="Y8" i="3"/>
  <c r="V8" i="3"/>
  <c r="Z8" i="3" s="1"/>
  <c r="T8" i="3"/>
  <c r="Q8" i="3"/>
  <c r="U8" i="3" s="1"/>
  <c r="O8" i="3"/>
  <c r="L8" i="3"/>
  <c r="P8" i="3" s="1"/>
  <c r="Y7" i="3"/>
  <c r="V7" i="3"/>
  <c r="Z7" i="3" s="1"/>
  <c r="T7" i="3"/>
  <c r="Q7" i="3"/>
  <c r="U7" i="3" s="1"/>
  <c r="O7" i="3"/>
  <c r="L7" i="3"/>
  <c r="P7" i="3" s="1"/>
  <c r="Y6" i="3"/>
  <c r="V6" i="3"/>
  <c r="Z6" i="3" s="1"/>
  <c r="T6" i="3"/>
  <c r="Q6" i="3"/>
  <c r="U6" i="3" s="1"/>
  <c r="P6" i="3"/>
  <c r="O6" i="3"/>
  <c r="L6" i="3"/>
  <c r="Y5" i="3"/>
  <c r="V5" i="3"/>
  <c r="Z5" i="3" s="1"/>
  <c r="T5" i="3"/>
  <c r="Q5" i="3"/>
  <c r="U5" i="3" s="1"/>
  <c r="O5" i="3"/>
  <c r="L5" i="3"/>
  <c r="P5" i="3" s="1"/>
  <c r="Y4" i="3"/>
  <c r="V4" i="3"/>
  <c r="Z4" i="3" s="1"/>
  <c r="T4" i="3"/>
  <c r="Q4" i="3"/>
  <c r="U4" i="3" s="1"/>
  <c r="O4" i="3"/>
  <c r="L4" i="3"/>
  <c r="P4" i="3" s="1"/>
  <c r="Y3" i="3"/>
  <c r="V3" i="3"/>
  <c r="Z3" i="3" s="1"/>
  <c r="T3" i="3"/>
  <c r="Q3" i="3"/>
  <c r="U3" i="3" s="1"/>
  <c r="O3" i="3"/>
  <c r="L3" i="3"/>
  <c r="P3" i="3" s="1"/>
  <c r="Y2" i="3"/>
  <c r="V2" i="3"/>
  <c r="Z2" i="3" s="1"/>
  <c r="T2" i="3"/>
  <c r="Q2" i="3"/>
  <c r="U2" i="3" s="1"/>
  <c r="O2" i="3"/>
  <c r="L2" i="3"/>
  <c r="P2" i="3" s="1"/>
  <c r="C23" i="1"/>
  <c r="B23" i="1"/>
  <c r="D21" i="1"/>
  <c r="C21" i="1"/>
  <c r="B21" i="1"/>
  <c r="D7" i="1"/>
  <c r="D6" i="1"/>
  <c r="D5" i="1"/>
  <c r="Y29" i="3" l="1"/>
  <c r="B7" i="1" s="1"/>
  <c r="D18" i="1"/>
  <c r="C18" i="1"/>
  <c r="T29" i="3"/>
  <c r="B6" i="1" s="1"/>
  <c r="B18" i="1"/>
  <c r="O29" i="3"/>
  <c r="B5" i="1" s="1"/>
  <c r="E7" i="1" l="1"/>
  <c r="C7" i="1"/>
  <c r="B13" i="1" s="1"/>
  <c r="E6" i="1"/>
  <c r="C6" i="1"/>
  <c r="B12" i="1" s="1"/>
  <c r="E5" i="1"/>
  <c r="C5" i="1"/>
  <c r="B11" i="1" s="1"/>
</calcChain>
</file>

<file path=xl/sharedStrings.xml><?xml version="1.0" encoding="utf-8"?>
<sst xmlns="http://schemas.openxmlformats.org/spreadsheetml/2006/main" count="490" uniqueCount="343">
  <si>
    <t>Numeral 11 – Costo de componentes de la tarjeta CubeSat_UD34_PCB4 (USD)</t>
  </si>
  <si>
    <t>Solo componentes. Excluye fabricación de PCB, ensamblaje, transporte e impuestos. No es precio de venta.</t>
  </si>
  <si>
    <t>Tamaño del lote</t>
  </si>
  <si>
    <t>Costo de componentes del lote (USD)</t>
  </si>
  <si>
    <t>Costo de componentes por tarjeta (USD)</t>
  </si>
  <si>
    <t>De ese costo: parte ESTIMADA/pendiente (USD)</t>
  </si>
  <si>
    <t>% estimado</t>
  </si>
  <si>
    <t>Observaciones</t>
  </si>
  <si>
    <t>10 tarjetas</t>
  </si>
  <si>
    <t>Sin descuentos de volumen en la mayoría de ICs; sobrecompra por múltiplos (LCSC ×100, Samtec ×8).</t>
  </si>
  <si>
    <t>100 tarjetas</t>
  </si>
  <si>
    <t>Escalones de 100 uds en ICs y conectores; el sensor de imagen sigue dominando el costo.</t>
  </si>
  <si>
    <t>1000 tarjetas</t>
  </si>
  <si>
    <t>Escalón de 1000 uds (carrete completo en DRV8837 y TXS0108 usa cota); sensor AR0135 sin escalón publicado a 1000.</t>
  </si>
  <si>
    <t>Datos del gráfico (eje X = número de tarjetas, escala log)</t>
  </si>
  <si>
    <t>Tarjetas</t>
  </si>
  <si>
    <t>USD/tarjeta</t>
  </si>
  <si>
    <t>Mayores contribuyentes por tarjeta (USD/tarjeta)</t>
  </si>
  <si>
    <t>Componente</t>
  </si>
  <si>
    <t>AR0135 (sensor de imagen)</t>
  </si>
  <si>
    <t>J_ACTUATORS Harwin</t>
  </si>
  <si>
    <t>J1_PC104 Samtec ESQ</t>
  </si>
  <si>
    <t>LSM6DSOX (IMU)</t>
  </si>
  <si>
    <t>DRV8313 (BLDC)</t>
  </si>
  <si>
    <t>Regulador MSOP-8 (ESTIMADO)</t>
  </si>
  <si>
    <t>Parámetro</t>
  </si>
  <si>
    <t>Valor</t>
  </si>
  <si>
    <t>Fuente / nota</t>
  </si>
  <si>
    <t>Fecha de consulta</t>
  </si>
  <si>
    <t>2026-10-26</t>
  </si>
  <si>
    <t>Precios leídos de la versión indexada de cada página el 26-oct-2026; pueden variar al abrir la página en vivo.</t>
  </si>
  <si>
    <t>EUR→USD</t>
  </si>
  <si>
    <t>https://moneyexchangerate.org/currencyexchange/eur/usd/6 (1 EUR = 1.12 USD, 20-oct-2026). Solo se usa para AR0135 (precio en EUR).</t>
  </si>
  <si>
    <t>AR0135 EUR @10</t>
  </si>
  <si>
    <t>Digi-Key España (Marketplace) https://www.digikey.es/en/products/detail/onsemi/AR0135CS2C00SUEA0-DRBR/7221084</t>
  </si>
  <si>
    <t>AR0135 EUR @100</t>
  </si>
  <si>
    <t>Misma página. La tabla visible llega solo a 100 uds.</t>
  </si>
  <si>
    <t>AR0135 EUR @1000</t>
  </si>
  <si>
    <t>ESTIMADO: no hay escalón publicado para 1000; se mantiene el de 100 (cota superior, sin descuento adicional).</t>
  </si>
  <si>
    <t>Moneda del análisis</t>
  </si>
  <si>
    <t>USD</t>
  </si>
  <si>
    <t>Todos los precios en USD salvo AR0135 (EUR convertido con la tasa anterior).</t>
  </si>
  <si>
    <t>Configuración</t>
  </si>
  <si>
    <t>Todas las 27 líneas del BOM montadas (86 componentes/tarjeta)</t>
  </si>
  <si>
    <t>El archivo CubeSat_UD34_PCB4.xlsx no trae columna DNP/variantes: no hay componentes opcionales ni no montados identificables. Misma configuración y mismo criterio de compra en los 3 lotes.</t>
  </si>
  <si>
    <t>Criterio de compra</t>
  </si>
  <si>
    <t>Menor precio verificable en distribuidor identificable; precio según la cantidad TOTAL de piezas del lote; se respetan MOQ y múltiplos de empaque (LCSC múltiplos de 100; Samtec tubos de 8); carretes solo si la cantidad necesaria coincide con el carrete.</t>
  </si>
  <si>
    <t>Sobrantes declarados en cada línea.</t>
  </si>
  <si>
    <t>Excluido</t>
  </si>
  <si>
    <t>Fabricación de PCB, ensamblaje, transporte, impuestos/aranceles</t>
  </si>
  <si>
    <t>Según el numeral 11 de la guía.</t>
  </si>
  <si>
    <t>#</t>
  </si>
  <si>
    <t>Designadores</t>
  </si>
  <si>
    <t>Descripción (BOM)</t>
  </si>
  <si>
    <t>Cant./tarjeta</t>
  </si>
  <si>
    <t>Huella (BOM)</t>
  </si>
  <si>
    <t>Fabricante</t>
  </si>
  <si>
    <t>Referencia exacta (MPN)</t>
  </si>
  <si>
    <t>Origen del MPN</t>
  </si>
  <si>
    <t>Estado del precio</t>
  </si>
  <si>
    <t>Proveedor de referencia</t>
  </si>
  <si>
    <t>Moneda</t>
  </si>
  <si>
    <t>10: cant. necesaria</t>
  </si>
  <si>
    <t>10: cant. a comprar</t>
  </si>
  <si>
    <t>10: precio unit. (USD)</t>
  </si>
  <si>
    <t>10: costo (USD)</t>
  </si>
  <si>
    <t>10: sobrante</t>
  </si>
  <si>
    <t>100: cant. necesaria</t>
  </si>
  <si>
    <t>100: cant. a comprar</t>
  </si>
  <si>
    <t>100: precio unit. (USD)</t>
  </si>
  <si>
    <t>100: costo (USD)</t>
  </si>
  <si>
    <t>100: sobrante</t>
  </si>
  <si>
    <t>1000: cant. necesaria</t>
  </si>
  <si>
    <t>1000: cant. a comprar</t>
  </si>
  <si>
    <t>1000: precio unit. (USD)</t>
  </si>
  <si>
    <t>1000: costo (USD)</t>
  </si>
  <si>
    <t>1000: sobrante</t>
  </si>
  <si>
    <t>Disponibilidad / plazo</t>
  </si>
  <si>
    <t>Fuente (URL verificable)</t>
  </si>
  <si>
    <t>Notas</t>
  </si>
  <si>
    <t>C1_VBAT, C_3V3, C_3V3_FILT, C_a, C_b, C_IMU_VDD, C_IMU_VDDIO, C_IN2, C_MAG_VDDIO, C_VBAT_FILT, C_VCC_X/Y/Z, C_VCCA, C_VCCB, C_VCP, C_VM1, C_VM2, C_VM_X/Y/Z</t>
  </si>
  <si>
    <t>Chip Capacitor 100 nF ±10% 50 V 0603</t>
  </si>
  <si>
    <t>CAPC1608X90X40NL10T20</t>
  </si>
  <si>
    <t>Samsung Electro-Mechanics</t>
  </si>
  <si>
    <t>CL10B104KB8NNNC</t>
  </si>
  <si>
    <t>Propuesto</t>
  </si>
  <si>
    <t>COTIZADO</t>
  </si>
  <si>
    <t>LCSC (C1591)</t>
  </si>
  <si>
    <t>En stock (≈13.6 M uds); MOQ 100, múltiplo 100; carrete 4000</t>
  </si>
  <si>
    <t>https://www.lcsc.com/product-detail/C1591.html</t>
  </si>
  <si>
    <t>Escalones LCSC: 100+ $0.0142, 1000+ $0.012, 4000+ $0.011. Lote 10: necesita 210 → se compran 300 (múltiplo de 100).</t>
  </si>
  <si>
    <t>C_1, C_3V3_BULK, C_MAG_CAP, C_VAA_BULK, C_VDD_BULK, C_VDDIO_BULK</t>
  </si>
  <si>
    <t>Chip Capacitor 10 µF ±10% 16 V 0805</t>
  </si>
  <si>
    <t>CAPC2013X135X45NL10T25</t>
  </si>
  <si>
    <t>CL21A106KOQNNNE</t>
  </si>
  <si>
    <t>ESTIMADO</t>
  </si>
  <si>
    <t>Sin cotización directa (referencia: familia MLCC LCSC)</t>
  </si>
  <si>
    <t>Pendiente de verificar</t>
  </si>
  <si>
    <t>Orden de magnitud para MLCC 10 µF 0805 X5R en LCSC/Digi-Key; verificar antes de comprar.</t>
  </si>
  <si>
    <t>C_CP</t>
  </si>
  <si>
    <t>Chip Capacitor 10 nF ±20% 50 V 0402</t>
  </si>
  <si>
    <t>CAPC0402(1005)60_L</t>
  </si>
  <si>
    <t>CL05B103KB5NNNC</t>
  </si>
  <si>
    <t>Sin cotización directa (familia MLCC 0402)</t>
  </si>
  <si>
    <t>Estimado por analogía con CL10B104 (0603) cotizado.</t>
  </si>
  <si>
    <t>C_IN1</t>
  </si>
  <si>
    <t>Chip Capacitor 1 µF ±10% 25 V 0805</t>
  </si>
  <si>
    <t>CAPC2013X145X50ML20T25</t>
  </si>
  <si>
    <t>Murata</t>
  </si>
  <si>
    <t>GRM21BR61E105KA99L</t>
  </si>
  <si>
    <t>Sin cotización directa</t>
  </si>
  <si>
    <t>Estimado; MLCC 1 µF 0805 típico.</t>
  </si>
  <si>
    <t>C_OUT1</t>
  </si>
  <si>
    <t>Tantalio SMD TANTAMOUNT 10 µF ±10% 16 V 1206 (caja A)</t>
  </si>
  <si>
    <t>VISH-TR3-A_V</t>
  </si>
  <si>
    <t>Vishay Semiconductor</t>
  </si>
  <si>
    <t>TR3A106K016C1700</t>
  </si>
  <si>
    <t>RS UK / Element14 (familia TR3A, GBP/SGD)</t>
  </si>
  <si>
    <t>Existencia limitada en RS UK</t>
  </si>
  <si>
    <t>https://uk.rs-online.com/web/p/tantalum-capacitors/6845014</t>
  </si>
  <si>
    <t>Estimado a partir de escalones RS UK (£0.233 @250+, £0.171 @1000+) con 1 GBP≈1.30 USD (SUPUESTO). Verificar.</t>
  </si>
  <si>
    <t>C_p_d</t>
  </si>
  <si>
    <t>Chip Capacitor 1 µF ±10% 16 V 0603</t>
  </si>
  <si>
    <t>CAPC1608X90X35ML15T15</t>
  </si>
  <si>
    <t>CL10B105KO8NNNC</t>
  </si>
  <si>
    <t>Estimado por analogía con CL10B104 cotizado.</t>
  </si>
  <si>
    <t>C_V3P3</t>
  </si>
  <si>
    <t>Chip Capacitor 470 nF ±20% 25 V 0603</t>
  </si>
  <si>
    <t>CAPC0603(1608)100_L</t>
  </si>
  <si>
    <t>CL10B474KA8NNNC</t>
  </si>
  <si>
    <t>Estimado por analogía.</t>
  </si>
  <si>
    <t>C_VAA1/2, C_VAAPIX1/2, C_VDD1-5, C_VDDIO1-5</t>
  </si>
  <si>
    <t>Chip Capacitor 100 nF ±20% 10 V 0402</t>
  </si>
  <si>
    <t>CL05B104KP5NNNC</t>
  </si>
  <si>
    <t>Estimado; MLCC 0402 100 nF.</t>
  </si>
  <si>
    <t>C_VBAT, C_VBAT_BULK</t>
  </si>
  <si>
    <t>Tantalio 47 µF ±10% 16 V 2917 (7343)</t>
  </si>
  <si>
    <t>FP-TPSD-MFG</t>
  </si>
  <si>
    <t>KEMET</t>
  </si>
  <si>
    <t>T491D476K016AT</t>
  </si>
  <si>
    <t>LCSC (C122248)</t>
  </si>
  <si>
    <t>Stock bajo en LCSC (73 uds en una captura); Digi-Key plazo 13–19 sem</t>
  </si>
  <si>
    <t>https://www.lcsc.com/product-detail/C122248.html</t>
  </si>
  <si>
    <t>Descripción del BOM coincide literalmente con 'CAP TANT 47UF 10% 16V 2917' (Digi-Key T491D476K016AT). Para 20 uds no se ve el escalón 10+ en la captura vigente: se usa el de 30+ (conservador).</t>
  </si>
  <si>
    <t>C_VM_BULK</t>
  </si>
  <si>
    <t>Cerámico CL32 100 µF ±20% 10 V X5R 1210</t>
  </si>
  <si>
    <t>CAPC3225X280N</t>
  </si>
  <si>
    <t>CL32A107MPVNNNE</t>
  </si>
  <si>
    <t>BOM (descripción)</t>
  </si>
  <si>
    <t>LCSC (C23742)</t>
  </si>
  <si>
    <t>En stock (≈61 k uds); carrete 1000</t>
  </si>
  <si>
    <t>https://www.lcsc.com/product-detail/C23742.html</t>
  </si>
  <si>
    <t>Escalones LCSC: 10+ $0.2519, 100+ $0.1977, 1000+ $0.1627.</t>
  </si>
  <si>
    <t>D1_ESD, D1_ESD_B</t>
  </si>
  <si>
    <t>TVS 5.5 V SOT143B</t>
  </si>
  <si>
    <t>FP-SOT143B-MFG</t>
  </si>
  <si>
    <t>Nexperia</t>
  </si>
  <si>
    <t>PRTR5V0U2X,215</t>
  </si>
  <si>
    <t>BOM</t>
  </si>
  <si>
    <t>Digi-Key (vía agregador Ciiva)</t>
  </si>
  <si>
    <t>RIESGO: stock 0 en Digi-Key; Farnell JP lo marca 'No Longer Manufactured'; LCSC agotado</t>
  </si>
  <si>
    <t>https://ciiva.com/part/prtr5v0u2x-215-26504288</t>
  </si>
  <si>
    <t>Escalones tomados de la fila Digi-Key (1: $0.66, 10: $0.41, 100: $0.2626, 1000: $0.1786). Hay precios muy dispares en otros sitios ($0.11–$2.2): verificar obsolescencia/alternativa (PRTR5V0U2AX/-F).</t>
  </si>
  <si>
    <t>FL</t>
  </si>
  <si>
    <t>Ferrita/bead 0603 (sin descripción en BOM)</t>
  </si>
  <si>
    <t>BEADC1608X95N</t>
  </si>
  <si>
    <t>(vacío en BOM)</t>
  </si>
  <si>
    <t>Sin MPN en BOM — propuesto: Murata BLM18PG221SN1D</t>
  </si>
  <si>
    <t>Sin cotización</t>
  </si>
  <si>
    <t>Pendiente</t>
  </si>
  <si>
    <t>ESTIMADO: el BOM no define valor (impedancia/corriente). Precio típico de bead 0603 de potencia.</t>
  </si>
  <si>
    <t>J1_PC104</t>
  </si>
  <si>
    <t>Conector PC/104 hembra 52 pos, 2×26, 2.54 mm</t>
  </si>
  <si>
    <t>SAMTEC_ESQ-126-12-G-D</t>
  </si>
  <si>
    <t>Samtec</t>
  </si>
  <si>
    <t>ESQ-126-12-G-D</t>
  </si>
  <si>
    <t>BOM (huella)</t>
  </si>
  <si>
    <t>Samtec directo / Digi-Key (SAM11112-ND)</t>
  </si>
  <si>
    <t>En stock (32 uds 'ships tomorrow' + 151 distribuidor); empaque tubo de 8</t>
  </si>
  <si>
    <t>https://www.samtec.com/products/esq-126-12-g-d</t>
  </si>
  <si>
    <t>Escalones Samtec: 1 $10.43, 10 $9.34, 100 $7.332, 1000 $5.508. Se compran múltiplos de 8 (tubo): lote 10 → 16 uds; lote 100 → 104 uds.</t>
  </si>
  <si>
    <t>J_ACTUATORS</t>
  </si>
  <si>
    <t>Conector Harwin Gecko 1.25 mm, 2×6, hembra vertical</t>
  </si>
  <si>
    <t>HARWIN_G125-FV11205L0P</t>
  </si>
  <si>
    <t>Harwin</t>
  </si>
  <si>
    <t>G125-FV11205L0P</t>
  </si>
  <si>
    <t>Mouser (855-G125-FV11205L0P), vía espejo the-esb.com</t>
  </si>
  <si>
    <t>Mouser: 105 uds; TTI en pedido (plazo 13 sem)</t>
  </si>
  <si>
    <t>https://the-esb.com/part/g125fv11205l0p~harwin</t>
  </si>
  <si>
    <t>Mouser: 1 $13.71, 10 $12.15, 100 $10.59, 1K $7.54. TTI: 100 $9.28, 1K $7.48 (https://thepartsdirect.com/part/g125fv11205l0p~harwin). Lote 10 es el segundo ítem más caro.</t>
  </si>
  <si>
    <t>R1-R5, R_a, R_CAM_RST, R_IMU_CS, R_MAG_SCL, R_MAG_SDA, R_OE_PULLDOWN, R_PULL_EN, R_SLEEP_X/Y/Z, Regf</t>
  </si>
  <si>
    <t>Resistor 10 kΩ ±1% 0.1 W 0603</t>
  </si>
  <si>
    <t>RESC1608X55X25ML10T15</t>
  </si>
  <si>
    <t>Yageo</t>
  </si>
  <si>
    <t>RC0603FR-0710KL</t>
  </si>
  <si>
    <t>LCSC C98220 / RS (referencias)</t>
  </si>
  <si>
    <t>En stock (≈9 M en LCSC)</t>
  </si>
  <si>
    <t>https://www.lcsc.com/product-image/C98220.html</t>
  </si>
  <si>
    <t>LCSC lista precio desde $0.0008 a cantidad de carrete; RS UK £0.004–0.006 por RC0603FR-07xxx. Se usa un precio de pequeña cantidad (estimado).</t>
  </si>
  <si>
    <t>R_COMP_2</t>
  </si>
  <si>
    <t>Resistor 1 kΩ ±1% 0.1 W 0603</t>
  </si>
  <si>
    <t>RC0603FR-071KL</t>
  </si>
  <si>
    <t>Referencia RS/LCSC</t>
  </si>
  <si>
    <t>En stock</t>
  </si>
  <si>
    <t>Igual criterio que 10 kΩ.</t>
  </si>
  <si>
    <t>R_I2C_SCL, R_I2C_SDA</t>
  </si>
  <si>
    <t>Resistor 1.5 kΩ ±0.1% 1/10 W 0603 (película delgada)</t>
  </si>
  <si>
    <t>RES_ERA3ARB152V</t>
  </si>
  <si>
    <t>Panasonic</t>
  </si>
  <si>
    <t>ERA3ARB152V (BOM) → sucesor ERA-3AEB152V</t>
  </si>
  <si>
    <t>Master Electronics / RS / derf (referencias)</t>
  </si>
  <si>
    <t>ERA3ARB152V DESCONTINUADO en RS; ERA-3AEB152V: MOQ 5000 en Master (plazo 12 sem)</t>
  </si>
  <si>
    <t>https://masterelectronics.com/en/panasonic/era3aeb152v-44450459.html</t>
  </si>
  <si>
    <t>Master: 5000 @ $0.0287 (MOQ 5000). derf.com (ERA-3YEB152V): $0.108 @11–50. RS UK: £0.022 @500+. Los lotes 100/1000 son estimados entre esas referencias. Descontinuado: https://uk.rs-online.com/p/surface-mount-resistors/6618691</t>
  </si>
  <si>
    <t>R_SENSE</t>
  </si>
  <si>
    <t>Shunt 100 mΩ ±1% 1 W 1206 AEC-Q200 metal</t>
  </si>
  <si>
    <t>RESC3216X89N</t>
  </si>
  <si>
    <t>Vishay</t>
  </si>
  <si>
    <t>WSLP1206R1000FEA</t>
  </si>
  <si>
    <t>Farnell (familia WSLP1206, proxy USD)</t>
  </si>
  <si>
    <t>Familia en stock; verificar este valor</t>
  </si>
  <si>
    <t>https://il.farnell.com/vishay/wslp12061l000fea/current-sense-res-0r001-1-1-w/dp/2420760</t>
  </si>
  <si>
    <t>PROXY: no se obtuvo la página del valor 100 mΩ; se usan los escalones del WSLP12061L000FEA (mismo tamaño/serie, 10+ $0.738, 100+ $0.508, 1000+ $0.373).</t>
  </si>
  <si>
    <t>Reg_</t>
  </si>
  <si>
    <t>Resistor 130 kΩ ±1% 0.1 W 0603</t>
  </si>
  <si>
    <t>RESC1608X55N</t>
  </si>
  <si>
    <t>RC0603FR-07130KL</t>
  </si>
  <si>
    <t>Regulador</t>
  </si>
  <si>
    <t>Regulador/IC MSOP-8 (sin descripción, sin MPN en BOM)</t>
  </si>
  <si>
    <t>MSOP-8_MS</t>
  </si>
  <si>
    <t>SIN IDENTIFICAR — pendiente</t>
  </si>
  <si>
    <t>PENDIENTE: el BOM no identifica el IC. Marcador de $3.00 (rango típico MSOP-8 regulador/PMIC $1.5–$5), sin descuento por volumen. Es la mayor incertidumbre del cálculo.</t>
  </si>
  <si>
    <t>U1_CAM_PWR</t>
  </si>
  <si>
    <t>Load switch 5.5 V, 1.5 A, 90 mΩ con descarga ajustable</t>
  </si>
  <si>
    <t>SOT65P210X110-6N</t>
  </si>
  <si>
    <t>Texas Instruments</t>
  </si>
  <si>
    <t>TPS22919DCKR</t>
  </si>
  <si>
    <t>Digi-Key US (296-TPS22919DCKRCT-ND)</t>
  </si>
  <si>
    <t>En stock (≈144 k uds); plazo 6 sem</t>
  </si>
  <si>
    <t>https://www.digikey.com/en/products/detail/texas-instruments/TPS22919DCKR/10434801</t>
  </si>
  <si>
    <t>Identificado por la descripción exacta del BOM (TI TPS22919, SC70-6). DK: 1 $0.20, 10 $0.133, 100 $0.10, 1000 $0.08261.</t>
  </si>
  <si>
    <t>U1_IMU</t>
  </si>
  <si>
    <t>IMU iNEMO 3D acel.+giro</t>
  </si>
  <si>
    <t>FP-LGA-14L-DM00249496-MFG</t>
  </si>
  <si>
    <t>STMicroelectronics</t>
  </si>
  <si>
    <t>LSM6DSOXTR</t>
  </si>
  <si>
    <t>Digi-Key US (497-18367-1-ND)</t>
  </si>
  <si>
    <t>En stock en capturas previas (19–28 k); plazo 20–24 sem</t>
  </si>
  <si>
    <t>https://www.digikey.com/en/products/detail/stmicroelectronics/LSM6DSOXTR/9841887</t>
  </si>
  <si>
    <t>DK: 1 $4.07, 10 $3.487, 100 $3.0519, 500 $2.81442, 1000 $2.78705. OJO: otras capturas/regiones muestran $3.51 (@1) a $7.36 (@1): precio volátil.</t>
  </si>
  <si>
    <t>U1_MTQ_X, U2_MTQ_Y, U3_MTQ_Z</t>
  </si>
  <si>
    <t>Driver puente H 12 V, 1 A</t>
  </si>
  <si>
    <t>SON50P200X200X80-9N</t>
  </si>
  <si>
    <t>DRV8837CDSGR</t>
  </si>
  <si>
    <t>Digi-Key US (296-47205-1-ND)</t>
  </si>
  <si>
    <t>En stock (≈72 k uds)</t>
  </si>
  <si>
    <t>https://www.digikey.com/en/products/detail/texas-instruments/DRV8837CDSGR/7688215</t>
  </si>
  <si>
    <t>DK: 25 $0.4944, 250 $0.40412, 1000 $0.37214, carrete 3000 $0.3543. Lote 1000 = 3000 uds = 1 carrete completo (sin sobrante).</t>
  </si>
  <si>
    <t>U2</t>
  </si>
  <si>
    <t>Sensor de imagen CMOS 1.2 MP (color), iBGA-63</t>
  </si>
  <si>
    <t>BGA63C100P8X8_900X900X144N</t>
  </si>
  <si>
    <t>onsemi</t>
  </si>
  <si>
    <t>AR0135CS2C00SUEA0-DRBR</t>
  </si>
  <si>
    <t>Digi-Key España — Marketplace (5556-AR0135CS2C00SUEA0-DRBR-ND)</t>
  </si>
  <si>
    <t>Stock fábrica 2,600; plazo 20 sem; ítem Marketplace (vendedor externo)</t>
  </si>
  <si>
    <t>https://www.digikey.es/en/products/detail/onsemi/AR0135CS2C00SUEA0-DRBR/7221084</t>
  </si>
  <si>
    <t>DK ES (EUR): 1 €23.93, 10 €21.18, 100 €19.1172. Sin escalón a 1000 → se mantiene €19.1172 (cota superior). Es el componente dominante del costo. Hay listados 'obsoletos' en otros sitios para variantes -DPBR/-DRBR1: confirmar ciclo de vida.</t>
  </si>
  <si>
    <t>U2_MAG</t>
  </si>
  <si>
    <t>Magnetómetro 3 ejes MMC5983MA (IC)</t>
  </si>
  <si>
    <t>PQFN50P300X300X100-16N</t>
  </si>
  <si>
    <t>MEMSIC</t>
  </si>
  <si>
    <t>MMC5983MA</t>
  </si>
  <si>
    <t>Digi-Key US (1267-MMC5983MACT-ND)</t>
  </si>
  <si>
    <t>En stock (≈29–68 k uds); plazo 8 sem</t>
  </si>
  <si>
    <t>https://www.digikey.com/en/products/detail/memsic-inc/MMC5983MA/10452795</t>
  </si>
  <si>
    <t>La descripción del BOM dice 'Evaluation Board' (MMC5983MA-B, $20.95) pero el MPN es el IC: se cotiza el IC. Corregir descripción del BOM.</t>
  </si>
  <si>
    <t>U3_LEVEL_SHIFTER, U4_LEVEL_SHIFTER</t>
  </si>
  <si>
    <t>Traductor de nivel bidireccional 20-TSSOP (PW0020A)</t>
  </si>
  <si>
    <t>FP-PW0020A-IPC_A</t>
  </si>
  <si>
    <t>TXS0108EPWR</t>
  </si>
  <si>
    <t>Digi-Key US (296-23011-1-ND)</t>
  </si>
  <si>
    <t>En stock (≈17 k uds)</t>
  </si>
  <si>
    <t>https://www.digikey.com/en/products/detail/texas-instruments/TXS0108EPWR/1775302</t>
  </si>
  <si>
    <t>DK US: 10 $1.108, 100 $0.8928, 500 $0.82314. A 2000 uds no se ve el escalón de carrete en la captura: se usa el de 500 (cota superior). MPN propuesto: el BOM solo dice '8-bit bidireccional 20-TSSOP'.</t>
  </si>
  <si>
    <t>U4_BLDC</t>
  </si>
  <si>
    <t>Driver BLDC 3 fases 8–60 V, 28-HTSSOP</t>
  </si>
  <si>
    <t>FP-PWP0028C-IPC_A</t>
  </si>
  <si>
    <t>DRV8313PWPR</t>
  </si>
  <si>
    <t>Digi-Key (USD, sitio .com.mx)</t>
  </si>
  <si>
    <t>En stock en capturas (≈2 k–5.7 k, otros 0); plazo 18 sem</t>
  </si>
  <si>
    <t>https://www.digikey.com/en/products/detail/texas-instruments/DRV8313PWPR/3775439</t>
  </si>
  <si>
    <t>Precios USD leídos de la página digikey.com.mx (10 $2.531, 100 $2.0913, 1000 $1.8609, carrete 2000 $1.8161). Otros agregadores muestran $4.0–4.1 @1 (Mouser/TI). Verificar en vivo.</t>
  </si>
  <si>
    <t>TOTAL</t>
  </si>
  <si>
    <t>Proveedor</t>
  </si>
  <si>
    <t>URL</t>
  </si>
  <si>
    <t>Qué verificar</t>
  </si>
  <si>
    <t>Digi-Key España (Marketplace)</t>
  </si>
  <si>
    <t>Tabla Tray EUR: 1/5/10/25/50/100</t>
  </si>
  <si>
    <t>Digi-Key US</t>
  </si>
  <si>
    <t>Cut Tape USD</t>
  </si>
  <si>
    <t>Cut Tape y Tape&amp;Reel USD</t>
  </si>
  <si>
    <t>Digi-Key (.com.mx en USD)</t>
  </si>
  <si>
    <t>Cambiar país a México/USD si el sitio US muestra otra cosa</t>
  </si>
  <si>
    <t>Samtec / Digi-Key</t>
  </si>
  <si>
    <t>Breaks 1/10/25/50/100/500/1000/2000; Mult 8</t>
  </si>
  <si>
    <t>Digi-Key</t>
  </si>
  <si>
    <t>https://www.digikey.com/en/products/detail/samtec-inc/ESQ-126-12-G-D/6694915</t>
  </si>
  <si>
    <t>Empaque estándar 8, $10.43 @1</t>
  </si>
  <si>
    <t>Mouser (espejo the-esb.com)</t>
  </si>
  <si>
    <t>Mouser 855-G125-FV11205L0P</t>
  </si>
  <si>
    <t>TTI (espejo thepartsdirect)</t>
  </si>
  <si>
    <t>https://thepartsdirect.com/part/g125fv11205l0p~harwin</t>
  </si>
  <si>
    <t>100 $9.28, 1K $7.48</t>
  </si>
  <si>
    <t>Digi-Key vía Ciiva</t>
  </si>
  <si>
    <t>Fila DigiKey; stock 0</t>
  </si>
  <si>
    <t>Farnell JP (estado)</t>
  </si>
  <si>
    <t>https://jp.farnell.com/en-JP/nexperia/prtr5v0u2x-215/diode-tvs-dual-sot-143b/dp/1524157</t>
  </si>
  <si>
    <t>'No Longer Manufactured'</t>
  </si>
  <si>
    <t>LCSC C1591</t>
  </si>
  <si>
    <t>100+/1000+/4000+</t>
  </si>
  <si>
    <t>LCSC C23742</t>
  </si>
  <si>
    <t>1+/10+/30+/100+/500+/1000+</t>
  </si>
  <si>
    <t>LCSC C122248</t>
  </si>
  <si>
    <t>30+/100+/500+/1000+</t>
  </si>
  <si>
    <t>WSLP1206 (proxy)</t>
  </si>
  <si>
    <t>Farnell IL</t>
  </si>
  <si>
    <t>10+/100+/1000+ (valor 1 mΩ, proxy)</t>
  </si>
  <si>
    <t>ERA-3AEB152V</t>
  </si>
  <si>
    <t>Master Electronics</t>
  </si>
  <si>
    <t>MOQ 5000, $0.0287</t>
  </si>
  <si>
    <t>ERA3ARB152V</t>
  </si>
  <si>
    <t>RS UK (descontinuado)</t>
  </si>
  <si>
    <t>https://uk.rs-online.com/p/surface-mount-resistors/6618691</t>
  </si>
  <si>
    <t>Estado 'Discontinued'</t>
  </si>
  <si>
    <t>RS UK</t>
  </si>
  <si>
    <t>Escalones en GBP</t>
  </si>
  <si>
    <t>TPS22919 (identificación)</t>
  </si>
  <si>
    <t>TI</t>
  </si>
  <si>
    <t>https://www.ti.com/product/TPS22919</t>
  </si>
  <si>
    <t>Descripción coincide con el BOM</t>
  </si>
  <si>
    <t>moneyexchangerate.org</t>
  </si>
  <si>
    <t>https://moneyexchangerate.org/currencyexchange/eur/usd/6</t>
  </si>
  <si>
    <t>1 EUR = 1.12 USD (20-oct-2026)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</si>
</sst>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0.0%"/>
    <numFmt numFmtId="166" formatCode="\$#,##0.0000"/>
  </numFmts>
  <fonts count="8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u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theme="6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65" fontId="2" fillId="0" borderId="1" xfId="0" applyNumberFormat="1" applyFont="1" applyBorder="1" applyAlignment="1">
      <alignment vertical="top" wrapText="1"/>
    </xf>
    <xf numFmtId="0" fontId="4" fillId="0" borderId="0" xfId="0" applyFont="1"/>
    <xf numFmtId="164" fontId="0" fillId="0" borderId="0" xfId="0" applyNumberFormat="1"/>
    <xf numFmtId="0" fontId="2" fillId="0" borderId="1" xfId="0" applyFont="1" applyBorder="1"/>
    <xf numFmtId="164" fontId="2" fillId="0" borderId="1" xfId="0" applyNumberFormat="1" applyFont="1" applyBorder="1"/>
    <xf numFmtId="0" fontId="3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5" fillId="0" borderId="1" xfId="0" applyFont="1" applyBorder="1"/>
    <xf numFmtId="166" fontId="5" fillId="0" borderId="1" xfId="0" applyNumberFormat="1" applyFont="1" applyBorder="1"/>
    <xf numFmtId="0" fontId="2" fillId="4" borderId="1" xfId="0" applyFont="1" applyFill="1" applyBorder="1" applyAlignment="1">
      <alignment vertical="top" wrapText="1"/>
    </xf>
    <xf numFmtId="166" fontId="6" fillId="0" borderId="1" xfId="0" applyNumberFormat="1" applyFont="1" applyBorder="1"/>
    <xf numFmtId="164" fontId="4" fillId="0" borderId="0" xfId="0" applyNumberFormat="1" applyFont="1"/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O" sz="1800" b="1" strike="noStrike" spc="-1">
                <a:solidFill>
                  <a:srgbClr val="000000"/>
                </a:solidFill>
                <a:latin typeface="Calibri"/>
              </a:rPr>
              <a:t>Costo de componentes por tarjeta vs tamaño del lote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Resumen!$B$10</c:f>
              <c:strCache>
                <c:ptCount val="1"/>
                <c:pt idx="0">
                  <c:v>USD/tarjeta</c:v>
                </c:pt>
              </c:strCache>
            </c:strRef>
          </c:tx>
          <c:spPr>
            <a:ln w="47520">
              <a:solidFill>
                <a:srgbClr val="98B855"/>
              </a:solidFill>
              <a:round/>
            </a:ln>
          </c:spPr>
          <c:marker>
            <c:symbol val="circle"/>
            <c:size val="8"/>
            <c:spPr>
              <a:solidFill>
                <a:srgbClr val="98B85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Resumen!$A$11:$A$13</c:f>
              <c:numCache>
                <c:formatCode>General</c:formatCode>
                <c:ptCount val="3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</c:numCache>
            </c:numRef>
          </c:xVal>
          <c:yVal>
            <c:numRef>
              <c:f>Resumen!$B$11:$B$13</c:f>
              <c:numCache>
                <c:formatCode>\$#,##0.00</c:formatCode>
                <c:ptCount val="3"/>
                <c:pt idx="0">
                  <c:v>71.212899999999991</c:v>
                </c:pt>
                <c:pt idx="1">
                  <c:v>56.550304000000011</c:v>
                </c:pt>
                <c:pt idx="2">
                  <c:v>49.551944000000006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21-41AC-BE2A-D90518DC7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48680"/>
        <c:axId val="37297656"/>
      </c:scatterChart>
      <c:valAx>
        <c:axId val="25148680"/>
        <c:scaling>
          <c:logBase val="10"/>
          <c:orientation val="minMax"/>
          <c:max val="10000"/>
          <c:min val="1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Tamaño del lote (tarjetas)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7297656"/>
        <c:crosses val="autoZero"/>
        <c:crossBetween val="midCat"/>
      </c:valAx>
      <c:valAx>
        <c:axId val="372976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CO" sz="1000" b="1" strike="noStrike" spc="-1">
                    <a:solidFill>
                      <a:srgbClr val="000000"/>
                    </a:solidFill>
                    <a:latin typeface="Calibri"/>
                  </a:rPr>
                  <a:t>USD por tarjeta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25148680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176040</xdr:rowOff>
    </xdr:from>
    <xdr:to>
      <xdr:col>16</xdr:col>
      <xdr:colOff>256320</xdr:colOff>
      <xdr:row>14</xdr:row>
      <xdr:rowOff>13320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="70" zoomScaleNormal="70" workbookViewId="0">
      <selection activeCell="F18" sqref="F18"/>
    </sheetView>
  </sheetViews>
  <sheetFormatPr baseColWidth="10" defaultColWidth="8.6640625" defaultRowHeight="14.4" x14ac:dyDescent="0.3"/>
  <cols>
    <col min="1" max="1" width="18" customWidth="1"/>
    <col min="2" max="3" width="24" customWidth="1"/>
    <col min="4" max="4" width="26" customWidth="1"/>
    <col min="5" max="5" width="11" customWidth="1"/>
    <col min="6" max="6" width="70" customWidth="1"/>
  </cols>
  <sheetData>
    <row r="1" spans="1:6" ht="16.8" x14ac:dyDescent="0.3">
      <c r="A1" s="1" t="s">
        <v>0</v>
      </c>
    </row>
    <row r="2" spans="1:6" x14ac:dyDescent="0.3">
      <c r="A2" s="2" t="s">
        <v>1</v>
      </c>
    </row>
    <row r="4" spans="1:6" ht="48" customHeight="1" x14ac:dyDescent="0.3">
      <c r="A4" s="19" t="s">
        <v>2</v>
      </c>
      <c r="B4" s="19" t="s">
        <v>3</v>
      </c>
      <c r="C4" s="19" t="s">
        <v>4</v>
      </c>
      <c r="D4" s="19" t="s">
        <v>5</v>
      </c>
      <c r="E4" s="19" t="s">
        <v>6</v>
      </c>
      <c r="F4" s="19" t="s">
        <v>7</v>
      </c>
    </row>
    <row r="5" spans="1:6" ht="26.4" x14ac:dyDescent="0.3">
      <c r="A5" s="4" t="s">
        <v>8</v>
      </c>
      <c r="B5" s="5">
        <f>BOM_Costos!O29</f>
        <v>712.12899999999991</v>
      </c>
      <c r="C5" s="5">
        <f>B5/10</f>
        <v>71.212899999999991</v>
      </c>
      <c r="D5" s="5">
        <f>SUMIF(BOM_Costos!$I$2:$I$28,"ESTIMADO",BOM_Costos!O2:O28)</f>
        <v>53.099999999999994</v>
      </c>
      <c r="E5" s="6">
        <f>D5/B5</f>
        <v>7.4565141989723777E-2</v>
      </c>
      <c r="F5" s="4" t="s">
        <v>9</v>
      </c>
    </row>
    <row r="6" spans="1:6" ht="26.4" x14ac:dyDescent="0.3">
      <c r="A6" s="4" t="s">
        <v>10</v>
      </c>
      <c r="B6" s="5">
        <f>BOM_Costos!T29</f>
        <v>5655.0304000000015</v>
      </c>
      <c r="C6" s="5">
        <f>B6/100</f>
        <v>56.550304000000011</v>
      </c>
      <c r="D6" s="5">
        <f>SUMIF(BOM_Costos!$I$2:$I$28,"ESTIMADO",BOM_Costos!T2:T28)</f>
        <v>445</v>
      </c>
      <c r="E6" s="6">
        <f>D6/B6</f>
        <v>7.8691000494002628E-2</v>
      </c>
      <c r="F6" s="4" t="s">
        <v>11</v>
      </c>
    </row>
    <row r="7" spans="1:6" ht="26.4" x14ac:dyDescent="0.3">
      <c r="A7" s="4" t="s">
        <v>12</v>
      </c>
      <c r="B7" s="5">
        <f>BOM_Costos!Y29</f>
        <v>49551.944000000003</v>
      </c>
      <c r="C7" s="5">
        <f>B7/1000</f>
        <v>49.551944000000006</v>
      </c>
      <c r="D7" s="5">
        <f>SUMIF(BOM_Costos!$I$2:$I$28,"ESTIMADO",BOM_Costos!Y2:Y28)</f>
        <v>4084</v>
      </c>
      <c r="E7" s="6">
        <f>D7/B7</f>
        <v>8.2418562629954534E-2</v>
      </c>
      <c r="F7" s="4" t="s">
        <v>13</v>
      </c>
    </row>
    <row r="9" spans="1:6" x14ac:dyDescent="0.3">
      <c r="A9" s="7" t="s">
        <v>14</v>
      </c>
    </row>
    <row r="10" spans="1:6" x14ac:dyDescent="0.3">
      <c r="A10" s="7" t="s">
        <v>15</v>
      </c>
      <c r="B10" s="7" t="s">
        <v>16</v>
      </c>
    </row>
    <row r="11" spans="1:6" x14ac:dyDescent="0.3">
      <c r="A11">
        <v>10</v>
      </c>
      <c r="B11" s="8">
        <f>C5</f>
        <v>71.212899999999991</v>
      </c>
    </row>
    <row r="12" spans="1:6" x14ac:dyDescent="0.3">
      <c r="A12">
        <v>100</v>
      </c>
      <c r="B12" s="8">
        <f>C6</f>
        <v>56.550304000000011</v>
      </c>
    </row>
    <row r="13" spans="1:6" x14ac:dyDescent="0.3">
      <c r="A13">
        <v>1000</v>
      </c>
      <c r="B13" s="8">
        <f>C7</f>
        <v>49.551944000000006</v>
      </c>
    </row>
    <row r="16" spans="1:6" x14ac:dyDescent="0.3">
      <c r="A16" s="7" t="s">
        <v>17</v>
      </c>
    </row>
    <row r="17" spans="1:6" x14ac:dyDescent="0.3">
      <c r="A17" s="20" t="s">
        <v>18</v>
      </c>
      <c r="B17" s="20" t="s">
        <v>8</v>
      </c>
      <c r="C17" s="20" t="s">
        <v>10</v>
      </c>
      <c r="D17" s="20" t="s">
        <v>12</v>
      </c>
    </row>
    <row r="18" spans="1:6" x14ac:dyDescent="0.3">
      <c r="A18" s="9" t="s">
        <v>19</v>
      </c>
      <c r="B18" s="10">
        <f>BOM_Costos!O25/10</f>
        <v>23.721600000000002</v>
      </c>
      <c r="C18" s="10">
        <f>BOM_Costos!T25/100</f>
        <v>21.411264000000003</v>
      </c>
      <c r="D18" s="10">
        <f>BOM_Costos!Y25/1000</f>
        <v>21.411264000000003</v>
      </c>
      <c r="F18" s="21"/>
    </row>
    <row r="19" spans="1:6" x14ac:dyDescent="0.3">
      <c r="A19" s="9" t="s">
        <v>20</v>
      </c>
      <c r="B19" s="10">
        <f>BOM_Costos!O15/10</f>
        <v>12.15</v>
      </c>
      <c r="C19" s="10">
        <f>BOM_Costos!T15/100</f>
        <v>10.59</v>
      </c>
      <c r="D19" s="10">
        <f>BOM_Costos!Y15/1000</f>
        <v>7.54</v>
      </c>
    </row>
    <row r="20" spans="1:6" x14ac:dyDescent="0.3">
      <c r="A20" s="9" t="s">
        <v>21</v>
      </c>
      <c r="B20" s="10">
        <f>BOM_Costos!O14/10</f>
        <v>14.943999999999999</v>
      </c>
      <c r="C20" s="10">
        <f>BOM_Costos!T14/100</f>
        <v>7.6252800000000001</v>
      </c>
      <c r="D20" s="10">
        <f>BOM_Costos!Y14/1000</f>
        <v>5.508</v>
      </c>
    </row>
    <row r="21" spans="1:6" x14ac:dyDescent="0.3">
      <c r="A21" s="9" t="s">
        <v>22</v>
      </c>
      <c r="B21" s="10">
        <f>BOM_Costos!O23/10</f>
        <v>3.4870000000000005</v>
      </c>
      <c r="C21" s="10">
        <f>BOM_Costos!T23/100</f>
        <v>3.0518999999999998</v>
      </c>
      <c r="D21" s="10">
        <f>BOM_Costos!Y23/1000</f>
        <v>2.7870499999999998</v>
      </c>
    </row>
    <row r="22" spans="1:6" x14ac:dyDescent="0.3">
      <c r="A22" s="9" t="s">
        <v>23</v>
      </c>
      <c r="B22" s="10">
        <f>BOM_Costos!O28/10</f>
        <v>2.5310000000000001</v>
      </c>
      <c r="C22" s="10">
        <f>BOM_Costos!T28/100</f>
        <v>2.0912999999999999</v>
      </c>
      <c r="D22" s="10">
        <f>BOM_Costos!Y28/1000</f>
        <v>1.8609</v>
      </c>
    </row>
    <row r="23" spans="1:6" x14ac:dyDescent="0.3">
      <c r="A23" s="9" t="s">
        <v>24</v>
      </c>
      <c r="B23" s="10">
        <f>BOM_Costos!O21/10</f>
        <v>3</v>
      </c>
      <c r="C23" s="10">
        <f>BOM_Costos!T21/100</f>
        <v>3</v>
      </c>
      <c r="D23" s="10">
        <f>BOM_Costos!Y21/1000</f>
        <v>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zoomScaleNormal="100" workbookViewId="0"/>
  </sheetViews>
  <sheetFormatPr baseColWidth="10" defaultColWidth="8.6640625" defaultRowHeight="14.4" x14ac:dyDescent="0.3"/>
  <cols>
    <col min="1" max="1" width="24" customWidth="1"/>
    <col min="2" max="2" width="34" customWidth="1"/>
    <col min="3" max="3" width="95" customWidth="1"/>
  </cols>
  <sheetData>
    <row r="1" spans="1:3" x14ac:dyDescent="0.3">
      <c r="A1" s="11" t="s">
        <v>25</v>
      </c>
      <c r="B1" s="11" t="s">
        <v>26</v>
      </c>
      <c r="C1" s="11" t="s">
        <v>27</v>
      </c>
    </row>
    <row r="2" spans="1:3" x14ac:dyDescent="0.3">
      <c r="A2" s="4" t="s">
        <v>28</v>
      </c>
      <c r="B2" s="4" t="s">
        <v>29</v>
      </c>
      <c r="C2" s="4" t="s">
        <v>30</v>
      </c>
    </row>
    <row r="3" spans="1:3" ht="26.4" x14ac:dyDescent="0.3">
      <c r="A3" s="4" t="s">
        <v>31</v>
      </c>
      <c r="B3" s="12">
        <v>1.1200000000000001</v>
      </c>
      <c r="C3" s="4" t="s">
        <v>32</v>
      </c>
    </row>
    <row r="4" spans="1:3" ht="26.4" x14ac:dyDescent="0.3">
      <c r="A4" s="4" t="s">
        <v>33</v>
      </c>
      <c r="B4" s="12">
        <v>21.18</v>
      </c>
      <c r="C4" s="4" t="s">
        <v>34</v>
      </c>
    </row>
    <row r="5" spans="1:3" x14ac:dyDescent="0.3">
      <c r="A5" s="4" t="s">
        <v>35</v>
      </c>
      <c r="B5" s="12">
        <v>19.1172</v>
      </c>
      <c r="C5" s="4" t="s">
        <v>36</v>
      </c>
    </row>
    <row r="6" spans="1:3" x14ac:dyDescent="0.3">
      <c r="A6" s="4" t="s">
        <v>37</v>
      </c>
      <c r="B6" s="12">
        <v>19.1172</v>
      </c>
      <c r="C6" s="4" t="s">
        <v>38</v>
      </c>
    </row>
    <row r="7" spans="1:3" x14ac:dyDescent="0.3">
      <c r="A7" s="4" t="s">
        <v>39</v>
      </c>
      <c r="B7" s="4" t="s">
        <v>40</v>
      </c>
      <c r="C7" s="4" t="s">
        <v>41</v>
      </c>
    </row>
    <row r="8" spans="1:3" ht="26.4" x14ac:dyDescent="0.3">
      <c r="A8" s="4" t="s">
        <v>42</v>
      </c>
      <c r="B8" s="4" t="s">
        <v>43</v>
      </c>
      <c r="C8" s="4" t="s">
        <v>44</v>
      </c>
    </row>
    <row r="9" spans="1:3" ht="92.4" x14ac:dyDescent="0.3">
      <c r="A9" s="4" t="s">
        <v>45</v>
      </c>
      <c r="B9" s="4" t="s">
        <v>46</v>
      </c>
      <c r="C9" s="4" t="s">
        <v>47</v>
      </c>
    </row>
    <row r="10" spans="1:3" ht="26.4" x14ac:dyDescent="0.3">
      <c r="A10" s="4" t="s">
        <v>48</v>
      </c>
      <c r="B10" s="4" t="s">
        <v>49</v>
      </c>
      <c r="C10" s="4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9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baseColWidth="10" defaultColWidth="8.6640625" defaultRowHeight="14.4" x14ac:dyDescent="0.3"/>
  <cols>
    <col min="1" max="1" width="4" customWidth="1"/>
    <col min="2" max="3" width="34" customWidth="1"/>
    <col min="4" max="4" width="8" customWidth="1"/>
    <col min="5" max="5" width="22" customWidth="1"/>
    <col min="6" max="6" width="18" customWidth="1"/>
    <col min="7" max="7" width="26" customWidth="1"/>
    <col min="8" max="8" width="14" customWidth="1"/>
    <col min="9" max="9" width="12" customWidth="1"/>
    <col min="10" max="10" width="28" customWidth="1"/>
    <col min="11" max="11" width="7" customWidth="1"/>
    <col min="12" max="13" width="9" customWidth="1"/>
    <col min="14" max="14" width="10" customWidth="1"/>
    <col min="15" max="15" width="11" customWidth="1"/>
    <col min="16" max="16" width="8" customWidth="1"/>
    <col min="17" max="18" width="9" customWidth="1"/>
    <col min="19" max="19" width="10" customWidth="1"/>
    <col min="20" max="20" width="11" customWidth="1"/>
    <col min="21" max="21" width="8" customWidth="1"/>
    <col min="22" max="23" width="9" customWidth="1"/>
    <col min="24" max="24" width="10" customWidth="1"/>
    <col min="25" max="25" width="11" customWidth="1"/>
    <col min="26" max="26" width="8" customWidth="1"/>
    <col min="27" max="27" width="34" customWidth="1"/>
    <col min="28" max="28" width="48" customWidth="1"/>
    <col min="29" max="29" width="60" customWidth="1"/>
  </cols>
  <sheetData>
    <row r="1" spans="1:29" ht="45" customHeight="1" x14ac:dyDescent="0.3">
      <c r="A1" s="3" t="s">
        <v>51</v>
      </c>
      <c r="B1" s="3" t="s">
        <v>52</v>
      </c>
      <c r="C1" s="3" t="s">
        <v>53</v>
      </c>
      <c r="D1" s="3" t="s">
        <v>54</v>
      </c>
      <c r="E1" s="3" t="s">
        <v>55</v>
      </c>
      <c r="F1" s="3" t="s">
        <v>56</v>
      </c>
      <c r="G1" s="3" t="s">
        <v>57</v>
      </c>
      <c r="H1" s="3" t="s">
        <v>58</v>
      </c>
      <c r="I1" s="3" t="s">
        <v>59</v>
      </c>
      <c r="J1" s="3" t="s">
        <v>60</v>
      </c>
      <c r="K1" s="3" t="s">
        <v>61</v>
      </c>
      <c r="L1" s="3" t="s">
        <v>62</v>
      </c>
      <c r="M1" s="3" t="s">
        <v>63</v>
      </c>
      <c r="N1" s="3" t="s">
        <v>64</v>
      </c>
      <c r="O1" s="3" t="s">
        <v>65</v>
      </c>
      <c r="P1" s="3" t="s">
        <v>66</v>
      </c>
      <c r="Q1" s="3" t="s">
        <v>67</v>
      </c>
      <c r="R1" s="3" t="s">
        <v>68</v>
      </c>
      <c r="S1" s="3" t="s">
        <v>69</v>
      </c>
      <c r="T1" s="3" t="s">
        <v>70</v>
      </c>
      <c r="U1" s="3" t="s">
        <v>71</v>
      </c>
      <c r="V1" s="3" t="s">
        <v>72</v>
      </c>
      <c r="W1" s="3" t="s">
        <v>73</v>
      </c>
      <c r="X1" s="3" t="s">
        <v>74</v>
      </c>
      <c r="Y1" s="3" t="s">
        <v>75</v>
      </c>
      <c r="Z1" s="3" t="s">
        <v>76</v>
      </c>
      <c r="AA1" s="3" t="s">
        <v>77</v>
      </c>
      <c r="AB1" s="3" t="s">
        <v>78</v>
      </c>
      <c r="AC1" s="3" t="s">
        <v>79</v>
      </c>
    </row>
    <row r="2" spans="1:29" ht="79.2" x14ac:dyDescent="0.3">
      <c r="A2" s="4">
        <v>1</v>
      </c>
      <c r="B2" s="4" t="s">
        <v>80</v>
      </c>
      <c r="C2" s="4" t="s">
        <v>81</v>
      </c>
      <c r="D2" s="12">
        <v>21</v>
      </c>
      <c r="E2" s="4" t="s">
        <v>82</v>
      </c>
      <c r="F2" s="4" t="s">
        <v>83</v>
      </c>
      <c r="G2" s="4" t="s">
        <v>84</v>
      </c>
      <c r="H2" s="4" t="s">
        <v>85</v>
      </c>
      <c r="I2" s="13" t="s">
        <v>86</v>
      </c>
      <c r="J2" s="4" t="s">
        <v>87</v>
      </c>
      <c r="K2" s="4" t="s">
        <v>40</v>
      </c>
      <c r="L2" s="9">
        <f t="shared" ref="L2:L28" si="0">$D2*10</f>
        <v>210</v>
      </c>
      <c r="M2" s="14">
        <v>300</v>
      </c>
      <c r="N2" s="15">
        <v>1.4200000000000001E-2</v>
      </c>
      <c r="O2" s="10">
        <f t="shared" ref="O2:O28" si="1">M2*N2</f>
        <v>4.2600000000000007</v>
      </c>
      <c r="P2" s="9">
        <f t="shared" ref="P2:P28" si="2">M2-L2</f>
        <v>90</v>
      </c>
      <c r="Q2" s="9">
        <f t="shared" ref="Q2:Q28" si="3">$D2*100</f>
        <v>2100</v>
      </c>
      <c r="R2" s="14">
        <v>2100</v>
      </c>
      <c r="S2" s="15">
        <v>1.2E-2</v>
      </c>
      <c r="T2" s="10">
        <f t="shared" ref="T2:T28" si="4">R2*S2</f>
        <v>25.2</v>
      </c>
      <c r="U2" s="9">
        <f t="shared" ref="U2:U28" si="5">R2-Q2</f>
        <v>0</v>
      </c>
      <c r="V2" s="9">
        <f t="shared" ref="V2:V28" si="6">$D2*1000</f>
        <v>21000</v>
      </c>
      <c r="W2" s="14">
        <v>21000</v>
      </c>
      <c r="X2" s="15">
        <v>1.0999999999999999E-2</v>
      </c>
      <c r="Y2" s="10">
        <f t="shared" ref="Y2:Y28" si="7">W2*X2</f>
        <v>231</v>
      </c>
      <c r="Z2" s="9">
        <f t="shared" ref="Z2:Z28" si="8">W2-V2</f>
        <v>0</v>
      </c>
      <c r="AA2" s="4" t="s">
        <v>88</v>
      </c>
      <c r="AB2" s="4" t="s">
        <v>89</v>
      </c>
      <c r="AC2" s="4" t="s">
        <v>90</v>
      </c>
    </row>
    <row r="3" spans="1:29" ht="39.6" x14ac:dyDescent="0.3">
      <c r="A3" s="4">
        <v>2</v>
      </c>
      <c r="B3" s="4" t="s">
        <v>91</v>
      </c>
      <c r="C3" s="4" t="s">
        <v>92</v>
      </c>
      <c r="D3" s="12">
        <v>6</v>
      </c>
      <c r="E3" s="4" t="s">
        <v>93</v>
      </c>
      <c r="F3" s="4" t="s">
        <v>83</v>
      </c>
      <c r="G3" s="4" t="s">
        <v>94</v>
      </c>
      <c r="H3" s="4" t="s">
        <v>85</v>
      </c>
      <c r="I3" s="16" t="s">
        <v>95</v>
      </c>
      <c r="J3" s="4" t="s">
        <v>96</v>
      </c>
      <c r="K3" s="4" t="s">
        <v>40</v>
      </c>
      <c r="L3" s="9">
        <f t="shared" si="0"/>
        <v>60</v>
      </c>
      <c r="M3" s="14">
        <v>60</v>
      </c>
      <c r="N3" s="15">
        <v>0.05</v>
      </c>
      <c r="O3" s="10">
        <f t="shared" si="1"/>
        <v>3</v>
      </c>
      <c r="P3" s="9">
        <f t="shared" si="2"/>
        <v>0</v>
      </c>
      <c r="Q3" s="9">
        <f t="shared" si="3"/>
        <v>600</v>
      </c>
      <c r="R3" s="14">
        <v>600</v>
      </c>
      <c r="S3" s="15">
        <v>0.04</v>
      </c>
      <c r="T3" s="10">
        <f t="shared" si="4"/>
        <v>24</v>
      </c>
      <c r="U3" s="9">
        <f t="shared" si="5"/>
        <v>0</v>
      </c>
      <c r="V3" s="9">
        <f t="shared" si="6"/>
        <v>6000</v>
      </c>
      <c r="W3" s="14">
        <v>6000</v>
      </c>
      <c r="X3" s="15">
        <v>3.5000000000000003E-2</v>
      </c>
      <c r="Y3" s="10">
        <f t="shared" si="7"/>
        <v>210.00000000000003</v>
      </c>
      <c r="Z3" s="9">
        <f t="shared" si="8"/>
        <v>0</v>
      </c>
      <c r="AA3" s="4" t="s">
        <v>97</v>
      </c>
      <c r="AB3" s="4"/>
      <c r="AC3" s="4" t="s">
        <v>98</v>
      </c>
    </row>
    <row r="4" spans="1:29" ht="26.4" x14ac:dyDescent="0.3">
      <c r="A4" s="4">
        <v>3</v>
      </c>
      <c r="B4" s="4" t="s">
        <v>99</v>
      </c>
      <c r="C4" s="4" t="s">
        <v>100</v>
      </c>
      <c r="D4" s="12">
        <v>1</v>
      </c>
      <c r="E4" s="4" t="s">
        <v>101</v>
      </c>
      <c r="F4" s="4" t="s">
        <v>83</v>
      </c>
      <c r="G4" s="4" t="s">
        <v>102</v>
      </c>
      <c r="H4" s="4" t="s">
        <v>85</v>
      </c>
      <c r="I4" s="16" t="s">
        <v>95</v>
      </c>
      <c r="J4" s="4" t="s">
        <v>103</v>
      </c>
      <c r="K4" s="4" t="s">
        <v>40</v>
      </c>
      <c r="L4" s="9">
        <f t="shared" si="0"/>
        <v>10</v>
      </c>
      <c r="M4" s="14">
        <v>10</v>
      </c>
      <c r="N4" s="15">
        <v>0.01</v>
      </c>
      <c r="O4" s="10">
        <f t="shared" si="1"/>
        <v>0.1</v>
      </c>
      <c r="P4" s="9">
        <f t="shared" si="2"/>
        <v>0</v>
      </c>
      <c r="Q4" s="9">
        <f t="shared" si="3"/>
        <v>100</v>
      </c>
      <c r="R4" s="14">
        <v>100</v>
      </c>
      <c r="S4" s="15">
        <v>6.0000000000000001E-3</v>
      </c>
      <c r="T4" s="10">
        <f t="shared" si="4"/>
        <v>0.6</v>
      </c>
      <c r="U4" s="9">
        <f t="shared" si="5"/>
        <v>0</v>
      </c>
      <c r="V4" s="9">
        <f t="shared" si="6"/>
        <v>1000</v>
      </c>
      <c r="W4" s="14">
        <v>1000</v>
      </c>
      <c r="X4" s="15">
        <v>4.0000000000000001E-3</v>
      </c>
      <c r="Y4" s="10">
        <f t="shared" si="7"/>
        <v>4</v>
      </c>
      <c r="Z4" s="9">
        <f t="shared" si="8"/>
        <v>0</v>
      </c>
      <c r="AA4" s="4" t="s">
        <v>97</v>
      </c>
      <c r="AB4" s="4"/>
      <c r="AC4" s="4" t="s">
        <v>104</v>
      </c>
    </row>
    <row r="5" spans="1:29" ht="26.4" x14ac:dyDescent="0.3">
      <c r="A5" s="4">
        <v>4</v>
      </c>
      <c r="B5" s="4" t="s">
        <v>105</v>
      </c>
      <c r="C5" s="4" t="s">
        <v>106</v>
      </c>
      <c r="D5" s="12">
        <v>1</v>
      </c>
      <c r="E5" s="4" t="s">
        <v>107</v>
      </c>
      <c r="F5" s="4" t="s">
        <v>108</v>
      </c>
      <c r="G5" s="4" t="s">
        <v>109</v>
      </c>
      <c r="H5" s="4" t="s">
        <v>85</v>
      </c>
      <c r="I5" s="16" t="s">
        <v>95</v>
      </c>
      <c r="J5" s="4" t="s">
        <v>110</v>
      </c>
      <c r="K5" s="4" t="s">
        <v>40</v>
      </c>
      <c r="L5" s="9">
        <f t="shared" si="0"/>
        <v>10</v>
      </c>
      <c r="M5" s="14">
        <v>10</v>
      </c>
      <c r="N5" s="15">
        <v>0.03</v>
      </c>
      <c r="O5" s="10">
        <f t="shared" si="1"/>
        <v>0.3</v>
      </c>
      <c r="P5" s="9">
        <f t="shared" si="2"/>
        <v>0</v>
      </c>
      <c r="Q5" s="9">
        <f t="shared" si="3"/>
        <v>100</v>
      </c>
      <c r="R5" s="14">
        <v>100</v>
      </c>
      <c r="S5" s="15">
        <v>0.02</v>
      </c>
      <c r="T5" s="10">
        <f t="shared" si="4"/>
        <v>2</v>
      </c>
      <c r="U5" s="9">
        <f t="shared" si="5"/>
        <v>0</v>
      </c>
      <c r="V5" s="9">
        <f t="shared" si="6"/>
        <v>1000</v>
      </c>
      <c r="W5" s="14">
        <v>1000</v>
      </c>
      <c r="X5" s="15">
        <v>1.4999999999999999E-2</v>
      </c>
      <c r="Y5" s="10">
        <f t="shared" si="7"/>
        <v>15</v>
      </c>
      <c r="Z5" s="9">
        <f t="shared" si="8"/>
        <v>0</v>
      </c>
      <c r="AA5" s="4" t="s">
        <v>97</v>
      </c>
      <c r="AB5" s="4"/>
      <c r="AC5" s="4" t="s">
        <v>111</v>
      </c>
    </row>
    <row r="6" spans="1:29" ht="26.4" x14ac:dyDescent="0.3">
      <c r="A6" s="4">
        <v>5</v>
      </c>
      <c r="B6" s="4" t="s">
        <v>112</v>
      </c>
      <c r="C6" s="4" t="s">
        <v>113</v>
      </c>
      <c r="D6" s="12">
        <v>1</v>
      </c>
      <c r="E6" s="4" t="s">
        <v>114</v>
      </c>
      <c r="F6" s="4" t="s">
        <v>115</v>
      </c>
      <c r="G6" s="4" t="s">
        <v>116</v>
      </c>
      <c r="H6" s="4" t="s">
        <v>85</v>
      </c>
      <c r="I6" s="16" t="s">
        <v>95</v>
      </c>
      <c r="J6" s="4" t="s">
        <v>117</v>
      </c>
      <c r="K6" s="4" t="s">
        <v>40</v>
      </c>
      <c r="L6" s="9">
        <f t="shared" si="0"/>
        <v>10</v>
      </c>
      <c r="M6" s="14">
        <v>10</v>
      </c>
      <c r="N6" s="15">
        <v>0.7</v>
      </c>
      <c r="O6" s="10">
        <f t="shared" si="1"/>
        <v>7</v>
      </c>
      <c r="P6" s="9">
        <f t="shared" si="2"/>
        <v>0</v>
      </c>
      <c r="Q6" s="9">
        <f t="shared" si="3"/>
        <v>100</v>
      </c>
      <c r="R6" s="14">
        <v>100</v>
      </c>
      <c r="S6" s="15">
        <v>0.35</v>
      </c>
      <c r="T6" s="10">
        <f t="shared" si="4"/>
        <v>35</v>
      </c>
      <c r="U6" s="9">
        <f t="shared" si="5"/>
        <v>0</v>
      </c>
      <c r="V6" s="9">
        <f t="shared" si="6"/>
        <v>1000</v>
      </c>
      <c r="W6" s="14">
        <v>1000</v>
      </c>
      <c r="X6" s="15">
        <v>0.25</v>
      </c>
      <c r="Y6" s="10">
        <f t="shared" si="7"/>
        <v>250</v>
      </c>
      <c r="Z6" s="9">
        <f t="shared" si="8"/>
        <v>0</v>
      </c>
      <c r="AA6" s="4" t="s">
        <v>118</v>
      </c>
      <c r="AB6" s="4" t="s">
        <v>119</v>
      </c>
      <c r="AC6" s="4" t="s">
        <v>120</v>
      </c>
    </row>
    <row r="7" spans="1:29" ht="26.4" x14ac:dyDescent="0.3">
      <c r="A7" s="4">
        <v>6</v>
      </c>
      <c r="B7" s="4" t="s">
        <v>121</v>
      </c>
      <c r="C7" s="4" t="s">
        <v>122</v>
      </c>
      <c r="D7" s="12">
        <v>1</v>
      </c>
      <c r="E7" s="4" t="s">
        <v>123</v>
      </c>
      <c r="F7" s="4" t="s">
        <v>83</v>
      </c>
      <c r="G7" s="4" t="s">
        <v>124</v>
      </c>
      <c r="H7" s="4" t="s">
        <v>85</v>
      </c>
      <c r="I7" s="16" t="s">
        <v>95</v>
      </c>
      <c r="J7" s="4" t="s">
        <v>110</v>
      </c>
      <c r="K7" s="4" t="s">
        <v>40</v>
      </c>
      <c r="L7" s="9">
        <f t="shared" si="0"/>
        <v>10</v>
      </c>
      <c r="M7" s="14">
        <v>10</v>
      </c>
      <c r="N7" s="15">
        <v>1.2E-2</v>
      </c>
      <c r="O7" s="10">
        <f t="shared" si="1"/>
        <v>0.12</v>
      </c>
      <c r="P7" s="9">
        <f t="shared" si="2"/>
        <v>0</v>
      </c>
      <c r="Q7" s="9">
        <f t="shared" si="3"/>
        <v>100</v>
      </c>
      <c r="R7" s="14">
        <v>100</v>
      </c>
      <c r="S7" s="15">
        <v>8.9999999999999993E-3</v>
      </c>
      <c r="T7" s="10">
        <f t="shared" si="4"/>
        <v>0.89999999999999991</v>
      </c>
      <c r="U7" s="9">
        <f t="shared" si="5"/>
        <v>0</v>
      </c>
      <c r="V7" s="9">
        <f t="shared" si="6"/>
        <v>1000</v>
      </c>
      <c r="W7" s="14">
        <v>1000</v>
      </c>
      <c r="X7" s="15">
        <v>7.0000000000000001E-3</v>
      </c>
      <c r="Y7" s="10">
        <f t="shared" si="7"/>
        <v>7</v>
      </c>
      <c r="Z7" s="9">
        <f t="shared" si="8"/>
        <v>0</v>
      </c>
      <c r="AA7" s="4" t="s">
        <v>97</v>
      </c>
      <c r="AB7" s="4"/>
      <c r="AC7" s="4" t="s">
        <v>125</v>
      </c>
    </row>
    <row r="8" spans="1:29" ht="26.4" x14ac:dyDescent="0.3">
      <c r="A8" s="4">
        <v>7</v>
      </c>
      <c r="B8" s="4" t="s">
        <v>126</v>
      </c>
      <c r="C8" s="4" t="s">
        <v>127</v>
      </c>
      <c r="D8" s="12">
        <v>1</v>
      </c>
      <c r="E8" s="4" t="s">
        <v>128</v>
      </c>
      <c r="F8" s="4" t="s">
        <v>83</v>
      </c>
      <c r="G8" s="4" t="s">
        <v>129</v>
      </c>
      <c r="H8" s="4" t="s">
        <v>85</v>
      </c>
      <c r="I8" s="16" t="s">
        <v>95</v>
      </c>
      <c r="J8" s="4" t="s">
        <v>110</v>
      </c>
      <c r="K8" s="4" t="s">
        <v>40</v>
      </c>
      <c r="L8" s="9">
        <f t="shared" si="0"/>
        <v>10</v>
      </c>
      <c r="M8" s="14">
        <v>10</v>
      </c>
      <c r="N8" s="15">
        <v>1.2E-2</v>
      </c>
      <c r="O8" s="10">
        <f t="shared" si="1"/>
        <v>0.12</v>
      </c>
      <c r="P8" s="9">
        <f t="shared" si="2"/>
        <v>0</v>
      </c>
      <c r="Q8" s="9">
        <f t="shared" si="3"/>
        <v>100</v>
      </c>
      <c r="R8" s="14">
        <v>100</v>
      </c>
      <c r="S8" s="15">
        <v>8.9999999999999993E-3</v>
      </c>
      <c r="T8" s="10">
        <f t="shared" si="4"/>
        <v>0.89999999999999991</v>
      </c>
      <c r="U8" s="9">
        <f t="shared" si="5"/>
        <v>0</v>
      </c>
      <c r="V8" s="9">
        <f t="shared" si="6"/>
        <v>1000</v>
      </c>
      <c r="W8" s="14">
        <v>1000</v>
      </c>
      <c r="X8" s="15">
        <v>7.0000000000000001E-3</v>
      </c>
      <c r="Y8" s="10">
        <f t="shared" si="7"/>
        <v>7</v>
      </c>
      <c r="Z8" s="9">
        <f t="shared" si="8"/>
        <v>0</v>
      </c>
      <c r="AA8" s="4" t="s">
        <v>97</v>
      </c>
      <c r="AB8" s="4"/>
      <c r="AC8" s="4" t="s">
        <v>130</v>
      </c>
    </row>
    <row r="9" spans="1:29" ht="26.4" x14ac:dyDescent="0.3">
      <c r="A9" s="4">
        <v>8</v>
      </c>
      <c r="B9" s="4" t="s">
        <v>131</v>
      </c>
      <c r="C9" s="4" t="s">
        <v>132</v>
      </c>
      <c r="D9" s="12">
        <v>14</v>
      </c>
      <c r="E9" s="4" t="s">
        <v>101</v>
      </c>
      <c r="F9" s="4" t="s">
        <v>83</v>
      </c>
      <c r="G9" s="4" t="s">
        <v>133</v>
      </c>
      <c r="H9" s="4" t="s">
        <v>85</v>
      </c>
      <c r="I9" s="16" t="s">
        <v>95</v>
      </c>
      <c r="J9" s="4" t="s">
        <v>110</v>
      </c>
      <c r="K9" s="4" t="s">
        <v>40</v>
      </c>
      <c r="L9" s="9">
        <f t="shared" si="0"/>
        <v>140</v>
      </c>
      <c r="M9" s="14">
        <v>140</v>
      </c>
      <c r="N9" s="15">
        <v>6.0000000000000001E-3</v>
      </c>
      <c r="O9" s="10">
        <f t="shared" si="1"/>
        <v>0.84</v>
      </c>
      <c r="P9" s="9">
        <f t="shared" si="2"/>
        <v>0</v>
      </c>
      <c r="Q9" s="9">
        <f t="shared" si="3"/>
        <v>1400</v>
      </c>
      <c r="R9" s="14">
        <v>1400</v>
      </c>
      <c r="S9" s="15">
        <v>4.0000000000000001E-3</v>
      </c>
      <c r="T9" s="10">
        <f t="shared" si="4"/>
        <v>5.6000000000000005</v>
      </c>
      <c r="U9" s="9">
        <f t="shared" si="5"/>
        <v>0</v>
      </c>
      <c r="V9" s="9">
        <f t="shared" si="6"/>
        <v>14000</v>
      </c>
      <c r="W9" s="14">
        <v>14000</v>
      </c>
      <c r="X9" s="15">
        <v>3.0000000000000001E-3</v>
      </c>
      <c r="Y9" s="10">
        <f t="shared" si="7"/>
        <v>42</v>
      </c>
      <c r="Z9" s="9">
        <f t="shared" si="8"/>
        <v>0</v>
      </c>
      <c r="AA9" s="4" t="s">
        <v>97</v>
      </c>
      <c r="AB9" s="4"/>
      <c r="AC9" s="4" t="s">
        <v>134</v>
      </c>
    </row>
    <row r="10" spans="1:29" ht="39.6" x14ac:dyDescent="0.3">
      <c r="A10" s="4">
        <v>9</v>
      </c>
      <c r="B10" s="4" t="s">
        <v>135</v>
      </c>
      <c r="C10" s="4" t="s">
        <v>136</v>
      </c>
      <c r="D10" s="12">
        <v>2</v>
      </c>
      <c r="E10" s="4" t="s">
        <v>137</v>
      </c>
      <c r="F10" s="4" t="s">
        <v>138</v>
      </c>
      <c r="G10" s="4" t="s">
        <v>139</v>
      </c>
      <c r="H10" s="4" t="s">
        <v>85</v>
      </c>
      <c r="I10" s="13" t="s">
        <v>86</v>
      </c>
      <c r="J10" s="4" t="s">
        <v>140</v>
      </c>
      <c r="K10" s="4" t="s">
        <v>40</v>
      </c>
      <c r="L10" s="9">
        <f t="shared" si="0"/>
        <v>20</v>
      </c>
      <c r="M10" s="14">
        <v>20</v>
      </c>
      <c r="N10" s="15">
        <v>0.68059999999999998</v>
      </c>
      <c r="O10" s="10">
        <f t="shared" si="1"/>
        <v>13.612</v>
      </c>
      <c r="P10" s="9">
        <f t="shared" si="2"/>
        <v>0</v>
      </c>
      <c r="Q10" s="9">
        <f t="shared" si="3"/>
        <v>200</v>
      </c>
      <c r="R10" s="14">
        <v>200</v>
      </c>
      <c r="S10" s="15">
        <v>0.5948</v>
      </c>
      <c r="T10" s="10">
        <f t="shared" si="4"/>
        <v>118.96</v>
      </c>
      <c r="U10" s="9">
        <f t="shared" si="5"/>
        <v>0</v>
      </c>
      <c r="V10" s="9">
        <f t="shared" si="6"/>
        <v>2000</v>
      </c>
      <c r="W10" s="14">
        <v>2000</v>
      </c>
      <c r="X10" s="15">
        <v>0.49099999999999999</v>
      </c>
      <c r="Y10" s="10">
        <f t="shared" si="7"/>
        <v>982</v>
      </c>
      <c r="Z10" s="9">
        <f t="shared" si="8"/>
        <v>0</v>
      </c>
      <c r="AA10" s="4" t="s">
        <v>141</v>
      </c>
      <c r="AB10" s="4" t="s">
        <v>142</v>
      </c>
      <c r="AC10" s="4" t="s">
        <v>143</v>
      </c>
    </row>
    <row r="11" spans="1:29" ht="26.4" x14ac:dyDescent="0.3">
      <c r="A11" s="4">
        <v>10</v>
      </c>
      <c r="B11" s="4" t="s">
        <v>144</v>
      </c>
      <c r="C11" s="4" t="s">
        <v>145</v>
      </c>
      <c r="D11" s="12">
        <v>1</v>
      </c>
      <c r="E11" s="4" t="s">
        <v>146</v>
      </c>
      <c r="F11" s="4" t="s">
        <v>83</v>
      </c>
      <c r="G11" s="4" t="s">
        <v>147</v>
      </c>
      <c r="H11" s="4" t="s">
        <v>148</v>
      </c>
      <c r="I11" s="13" t="s">
        <v>86</v>
      </c>
      <c r="J11" s="4" t="s">
        <v>149</v>
      </c>
      <c r="K11" s="4" t="s">
        <v>40</v>
      </c>
      <c r="L11" s="9">
        <f t="shared" si="0"/>
        <v>10</v>
      </c>
      <c r="M11" s="14">
        <v>10</v>
      </c>
      <c r="N11" s="15">
        <v>0.25190000000000001</v>
      </c>
      <c r="O11" s="10">
        <f t="shared" si="1"/>
        <v>2.5190000000000001</v>
      </c>
      <c r="P11" s="9">
        <f t="shared" si="2"/>
        <v>0</v>
      </c>
      <c r="Q11" s="9">
        <f t="shared" si="3"/>
        <v>100</v>
      </c>
      <c r="R11" s="14">
        <v>100</v>
      </c>
      <c r="S11" s="15">
        <v>0.19769999999999999</v>
      </c>
      <c r="T11" s="10">
        <f t="shared" si="4"/>
        <v>19.77</v>
      </c>
      <c r="U11" s="9">
        <f t="shared" si="5"/>
        <v>0</v>
      </c>
      <c r="V11" s="9">
        <f t="shared" si="6"/>
        <v>1000</v>
      </c>
      <c r="W11" s="14">
        <v>1000</v>
      </c>
      <c r="X11" s="15">
        <v>0.16270000000000001</v>
      </c>
      <c r="Y11" s="10">
        <f t="shared" si="7"/>
        <v>162.70000000000002</v>
      </c>
      <c r="Z11" s="9">
        <f t="shared" si="8"/>
        <v>0</v>
      </c>
      <c r="AA11" s="4" t="s">
        <v>150</v>
      </c>
      <c r="AB11" s="4" t="s">
        <v>151</v>
      </c>
      <c r="AC11" s="4" t="s">
        <v>152</v>
      </c>
    </row>
    <row r="12" spans="1:29" ht="39.6" x14ac:dyDescent="0.3">
      <c r="A12" s="4">
        <v>11</v>
      </c>
      <c r="B12" s="4" t="s">
        <v>153</v>
      </c>
      <c r="C12" s="4" t="s">
        <v>154</v>
      </c>
      <c r="D12" s="12">
        <v>2</v>
      </c>
      <c r="E12" s="4" t="s">
        <v>155</v>
      </c>
      <c r="F12" s="4" t="s">
        <v>156</v>
      </c>
      <c r="G12" s="4" t="s">
        <v>157</v>
      </c>
      <c r="H12" s="4" t="s">
        <v>158</v>
      </c>
      <c r="I12" s="13" t="s">
        <v>86</v>
      </c>
      <c r="J12" s="4" t="s">
        <v>159</v>
      </c>
      <c r="K12" s="4" t="s">
        <v>40</v>
      </c>
      <c r="L12" s="9">
        <f t="shared" si="0"/>
        <v>20</v>
      </c>
      <c r="M12" s="14">
        <v>20</v>
      </c>
      <c r="N12" s="15">
        <v>0.41</v>
      </c>
      <c r="O12" s="10">
        <f t="shared" si="1"/>
        <v>8.1999999999999993</v>
      </c>
      <c r="P12" s="9">
        <f t="shared" si="2"/>
        <v>0</v>
      </c>
      <c r="Q12" s="9">
        <f t="shared" si="3"/>
        <v>200</v>
      </c>
      <c r="R12" s="14">
        <v>200</v>
      </c>
      <c r="S12" s="15">
        <v>0.2626</v>
      </c>
      <c r="T12" s="10">
        <f t="shared" si="4"/>
        <v>52.52</v>
      </c>
      <c r="U12" s="9">
        <f t="shared" si="5"/>
        <v>0</v>
      </c>
      <c r="V12" s="9">
        <f t="shared" si="6"/>
        <v>2000</v>
      </c>
      <c r="W12" s="14">
        <v>2000</v>
      </c>
      <c r="X12" s="15">
        <v>0.17860000000000001</v>
      </c>
      <c r="Y12" s="10">
        <f t="shared" si="7"/>
        <v>357.20000000000005</v>
      </c>
      <c r="Z12" s="9">
        <f t="shared" si="8"/>
        <v>0</v>
      </c>
      <c r="AA12" s="4" t="s">
        <v>160</v>
      </c>
      <c r="AB12" s="4" t="s">
        <v>161</v>
      </c>
      <c r="AC12" s="4" t="s">
        <v>162</v>
      </c>
    </row>
    <row r="13" spans="1:29" ht="39.6" x14ac:dyDescent="0.3">
      <c r="A13" s="4">
        <v>12</v>
      </c>
      <c r="B13" s="4" t="s">
        <v>163</v>
      </c>
      <c r="C13" s="4" t="s">
        <v>164</v>
      </c>
      <c r="D13" s="12">
        <v>1</v>
      </c>
      <c r="E13" s="4" t="s">
        <v>165</v>
      </c>
      <c r="F13" s="4" t="s">
        <v>166</v>
      </c>
      <c r="G13" s="4" t="s">
        <v>167</v>
      </c>
      <c r="H13" s="4" t="s">
        <v>85</v>
      </c>
      <c r="I13" s="16" t="s">
        <v>95</v>
      </c>
      <c r="J13" s="4" t="s">
        <v>168</v>
      </c>
      <c r="K13" s="4" t="s">
        <v>40</v>
      </c>
      <c r="L13" s="9">
        <f t="shared" si="0"/>
        <v>10</v>
      </c>
      <c r="M13" s="14">
        <v>10</v>
      </c>
      <c r="N13" s="15">
        <v>0.1</v>
      </c>
      <c r="O13" s="10">
        <f t="shared" si="1"/>
        <v>1</v>
      </c>
      <c r="P13" s="9">
        <f t="shared" si="2"/>
        <v>0</v>
      </c>
      <c r="Q13" s="9">
        <f t="shared" si="3"/>
        <v>100</v>
      </c>
      <c r="R13" s="14">
        <v>100</v>
      </c>
      <c r="S13" s="15">
        <v>0.06</v>
      </c>
      <c r="T13" s="10">
        <f t="shared" si="4"/>
        <v>6</v>
      </c>
      <c r="U13" s="9">
        <f t="shared" si="5"/>
        <v>0</v>
      </c>
      <c r="V13" s="9">
        <f t="shared" si="6"/>
        <v>1000</v>
      </c>
      <c r="W13" s="14">
        <v>1000</v>
      </c>
      <c r="X13" s="15">
        <v>0.04</v>
      </c>
      <c r="Y13" s="10">
        <f t="shared" si="7"/>
        <v>40</v>
      </c>
      <c r="Z13" s="9">
        <f t="shared" si="8"/>
        <v>0</v>
      </c>
      <c r="AA13" s="4" t="s">
        <v>169</v>
      </c>
      <c r="AB13" s="4"/>
      <c r="AC13" s="4" t="s">
        <v>170</v>
      </c>
    </row>
    <row r="14" spans="1:29" ht="26.4" x14ac:dyDescent="0.3">
      <c r="A14" s="4">
        <v>13</v>
      </c>
      <c r="B14" s="4" t="s">
        <v>171</v>
      </c>
      <c r="C14" s="4" t="s">
        <v>172</v>
      </c>
      <c r="D14" s="12">
        <v>1</v>
      </c>
      <c r="E14" s="4" t="s">
        <v>173</v>
      </c>
      <c r="F14" s="4" t="s">
        <v>174</v>
      </c>
      <c r="G14" s="4" t="s">
        <v>175</v>
      </c>
      <c r="H14" s="4" t="s">
        <v>176</v>
      </c>
      <c r="I14" s="13" t="s">
        <v>86</v>
      </c>
      <c r="J14" s="4" t="s">
        <v>177</v>
      </c>
      <c r="K14" s="4" t="s">
        <v>40</v>
      </c>
      <c r="L14" s="9">
        <f t="shared" si="0"/>
        <v>10</v>
      </c>
      <c r="M14" s="14">
        <v>16</v>
      </c>
      <c r="N14" s="15">
        <v>9.34</v>
      </c>
      <c r="O14" s="10">
        <f t="shared" si="1"/>
        <v>149.44</v>
      </c>
      <c r="P14" s="9">
        <f t="shared" si="2"/>
        <v>6</v>
      </c>
      <c r="Q14" s="9">
        <f t="shared" si="3"/>
        <v>100</v>
      </c>
      <c r="R14" s="14">
        <v>104</v>
      </c>
      <c r="S14" s="15">
        <v>7.3319999999999999</v>
      </c>
      <c r="T14" s="10">
        <f t="shared" si="4"/>
        <v>762.52800000000002</v>
      </c>
      <c r="U14" s="9">
        <f t="shared" si="5"/>
        <v>4</v>
      </c>
      <c r="V14" s="9">
        <f t="shared" si="6"/>
        <v>1000</v>
      </c>
      <c r="W14" s="14">
        <v>1000</v>
      </c>
      <c r="X14" s="15">
        <v>5.508</v>
      </c>
      <c r="Y14" s="10">
        <f t="shared" si="7"/>
        <v>5508</v>
      </c>
      <c r="Z14" s="9">
        <f t="shared" si="8"/>
        <v>0</v>
      </c>
      <c r="AA14" s="4" t="s">
        <v>178</v>
      </c>
      <c r="AB14" s="4" t="s">
        <v>179</v>
      </c>
      <c r="AC14" s="4" t="s">
        <v>180</v>
      </c>
    </row>
    <row r="15" spans="1:29" ht="39.6" x14ac:dyDescent="0.3">
      <c r="A15" s="4">
        <v>14</v>
      </c>
      <c r="B15" s="4" t="s">
        <v>181</v>
      </c>
      <c r="C15" s="4" t="s">
        <v>182</v>
      </c>
      <c r="D15" s="12">
        <v>1</v>
      </c>
      <c r="E15" s="4" t="s">
        <v>183</v>
      </c>
      <c r="F15" s="4" t="s">
        <v>184</v>
      </c>
      <c r="G15" s="4" t="s">
        <v>185</v>
      </c>
      <c r="H15" s="4" t="s">
        <v>176</v>
      </c>
      <c r="I15" s="13" t="s">
        <v>86</v>
      </c>
      <c r="J15" s="4" t="s">
        <v>186</v>
      </c>
      <c r="K15" s="4" t="s">
        <v>40</v>
      </c>
      <c r="L15" s="9">
        <f t="shared" si="0"/>
        <v>10</v>
      </c>
      <c r="M15" s="14">
        <v>10</v>
      </c>
      <c r="N15" s="15">
        <v>12.15</v>
      </c>
      <c r="O15" s="10">
        <f t="shared" si="1"/>
        <v>121.5</v>
      </c>
      <c r="P15" s="9">
        <f t="shared" si="2"/>
        <v>0</v>
      </c>
      <c r="Q15" s="9">
        <f t="shared" si="3"/>
        <v>100</v>
      </c>
      <c r="R15" s="14">
        <v>100</v>
      </c>
      <c r="S15" s="15">
        <v>10.59</v>
      </c>
      <c r="T15" s="10">
        <f t="shared" si="4"/>
        <v>1059</v>
      </c>
      <c r="U15" s="9">
        <f t="shared" si="5"/>
        <v>0</v>
      </c>
      <c r="V15" s="9">
        <f t="shared" si="6"/>
        <v>1000</v>
      </c>
      <c r="W15" s="14">
        <v>1000</v>
      </c>
      <c r="X15" s="15">
        <v>7.54</v>
      </c>
      <c r="Y15" s="10">
        <f t="shared" si="7"/>
        <v>7540</v>
      </c>
      <c r="Z15" s="9">
        <f t="shared" si="8"/>
        <v>0</v>
      </c>
      <c r="AA15" s="4" t="s">
        <v>187</v>
      </c>
      <c r="AB15" s="4" t="s">
        <v>188</v>
      </c>
      <c r="AC15" s="4" t="s">
        <v>189</v>
      </c>
    </row>
    <row r="16" spans="1:29" ht="52.8" x14ac:dyDescent="0.3">
      <c r="A16" s="4">
        <v>15</v>
      </c>
      <c r="B16" s="4" t="s">
        <v>190</v>
      </c>
      <c r="C16" s="4" t="s">
        <v>191</v>
      </c>
      <c r="D16" s="12">
        <v>16</v>
      </c>
      <c r="E16" s="4" t="s">
        <v>192</v>
      </c>
      <c r="F16" s="4" t="s">
        <v>193</v>
      </c>
      <c r="G16" s="4" t="s">
        <v>194</v>
      </c>
      <c r="H16" s="4" t="s">
        <v>85</v>
      </c>
      <c r="I16" s="16" t="s">
        <v>95</v>
      </c>
      <c r="J16" s="4" t="s">
        <v>195</v>
      </c>
      <c r="K16" s="4" t="s">
        <v>40</v>
      </c>
      <c r="L16" s="9">
        <f t="shared" si="0"/>
        <v>160</v>
      </c>
      <c r="M16" s="14">
        <v>160</v>
      </c>
      <c r="N16" s="15">
        <v>6.0000000000000001E-3</v>
      </c>
      <c r="O16" s="10">
        <f t="shared" si="1"/>
        <v>0.96</v>
      </c>
      <c r="P16" s="9">
        <f t="shared" si="2"/>
        <v>0</v>
      </c>
      <c r="Q16" s="9">
        <f t="shared" si="3"/>
        <v>1600</v>
      </c>
      <c r="R16" s="14">
        <v>1600</v>
      </c>
      <c r="S16" s="15">
        <v>4.0000000000000001E-3</v>
      </c>
      <c r="T16" s="10">
        <f t="shared" si="4"/>
        <v>6.4</v>
      </c>
      <c r="U16" s="9">
        <f t="shared" si="5"/>
        <v>0</v>
      </c>
      <c r="V16" s="9">
        <f t="shared" si="6"/>
        <v>16000</v>
      </c>
      <c r="W16" s="14">
        <v>16000</v>
      </c>
      <c r="X16" s="15">
        <v>2E-3</v>
      </c>
      <c r="Y16" s="10">
        <f t="shared" si="7"/>
        <v>32</v>
      </c>
      <c r="Z16" s="9">
        <f t="shared" si="8"/>
        <v>0</v>
      </c>
      <c r="AA16" s="4" t="s">
        <v>196</v>
      </c>
      <c r="AB16" s="4" t="s">
        <v>197</v>
      </c>
      <c r="AC16" s="4" t="s">
        <v>198</v>
      </c>
    </row>
    <row r="17" spans="1:29" ht="26.4" x14ac:dyDescent="0.3">
      <c r="A17" s="4">
        <v>16</v>
      </c>
      <c r="B17" s="4" t="s">
        <v>199</v>
      </c>
      <c r="C17" s="4" t="s">
        <v>200</v>
      </c>
      <c r="D17" s="12">
        <v>1</v>
      </c>
      <c r="E17" s="4" t="s">
        <v>192</v>
      </c>
      <c r="F17" s="4" t="s">
        <v>193</v>
      </c>
      <c r="G17" s="4" t="s">
        <v>201</v>
      </c>
      <c r="H17" s="4" t="s">
        <v>85</v>
      </c>
      <c r="I17" s="16" t="s">
        <v>95</v>
      </c>
      <c r="J17" s="4" t="s">
        <v>202</v>
      </c>
      <c r="K17" s="4" t="s">
        <v>40</v>
      </c>
      <c r="L17" s="9">
        <f t="shared" si="0"/>
        <v>10</v>
      </c>
      <c r="M17" s="14">
        <v>10</v>
      </c>
      <c r="N17" s="15">
        <v>6.0000000000000001E-3</v>
      </c>
      <c r="O17" s="10">
        <f t="shared" si="1"/>
        <v>0.06</v>
      </c>
      <c r="P17" s="9">
        <f t="shared" si="2"/>
        <v>0</v>
      </c>
      <c r="Q17" s="9">
        <f t="shared" si="3"/>
        <v>100</v>
      </c>
      <c r="R17" s="14">
        <v>100</v>
      </c>
      <c r="S17" s="15">
        <v>4.0000000000000001E-3</v>
      </c>
      <c r="T17" s="10">
        <f t="shared" si="4"/>
        <v>0.4</v>
      </c>
      <c r="U17" s="9">
        <f t="shared" si="5"/>
        <v>0</v>
      </c>
      <c r="V17" s="9">
        <f t="shared" si="6"/>
        <v>1000</v>
      </c>
      <c r="W17" s="14">
        <v>1000</v>
      </c>
      <c r="X17" s="15">
        <v>2E-3</v>
      </c>
      <c r="Y17" s="10">
        <f t="shared" si="7"/>
        <v>2</v>
      </c>
      <c r="Z17" s="9">
        <f t="shared" si="8"/>
        <v>0</v>
      </c>
      <c r="AA17" s="4" t="s">
        <v>203</v>
      </c>
      <c r="AB17" s="4"/>
      <c r="AC17" s="4" t="s">
        <v>204</v>
      </c>
    </row>
    <row r="18" spans="1:29" ht="52.8" x14ac:dyDescent="0.3">
      <c r="A18" s="4">
        <v>17</v>
      </c>
      <c r="B18" s="4" t="s">
        <v>205</v>
      </c>
      <c r="C18" s="4" t="s">
        <v>206</v>
      </c>
      <c r="D18" s="12">
        <v>2</v>
      </c>
      <c r="E18" s="4" t="s">
        <v>207</v>
      </c>
      <c r="F18" s="4" t="s">
        <v>208</v>
      </c>
      <c r="G18" s="4" t="s">
        <v>209</v>
      </c>
      <c r="H18" s="4" t="s">
        <v>176</v>
      </c>
      <c r="I18" s="16" t="s">
        <v>95</v>
      </c>
      <c r="J18" s="4" t="s">
        <v>210</v>
      </c>
      <c r="K18" s="4" t="s">
        <v>40</v>
      </c>
      <c r="L18" s="9">
        <f t="shared" si="0"/>
        <v>20</v>
      </c>
      <c r="M18" s="14">
        <v>20</v>
      </c>
      <c r="N18" s="15">
        <v>0.108</v>
      </c>
      <c r="O18" s="10">
        <f t="shared" si="1"/>
        <v>2.16</v>
      </c>
      <c r="P18" s="9">
        <f t="shared" si="2"/>
        <v>0</v>
      </c>
      <c r="Q18" s="9">
        <f t="shared" si="3"/>
        <v>200</v>
      </c>
      <c r="R18" s="14">
        <v>200</v>
      </c>
      <c r="S18" s="15">
        <v>0.06</v>
      </c>
      <c r="T18" s="10">
        <f t="shared" si="4"/>
        <v>12</v>
      </c>
      <c r="U18" s="9">
        <f t="shared" si="5"/>
        <v>0</v>
      </c>
      <c r="V18" s="9">
        <f t="shared" si="6"/>
        <v>2000</v>
      </c>
      <c r="W18" s="14">
        <v>2000</v>
      </c>
      <c r="X18" s="15">
        <v>0.05</v>
      </c>
      <c r="Y18" s="10">
        <f t="shared" si="7"/>
        <v>100</v>
      </c>
      <c r="Z18" s="9">
        <f t="shared" si="8"/>
        <v>0</v>
      </c>
      <c r="AA18" s="4" t="s">
        <v>211</v>
      </c>
      <c r="AB18" s="4" t="s">
        <v>212</v>
      </c>
      <c r="AC18" s="4" t="s">
        <v>213</v>
      </c>
    </row>
    <row r="19" spans="1:29" ht="39.6" x14ac:dyDescent="0.3">
      <c r="A19" s="4">
        <v>18</v>
      </c>
      <c r="B19" s="4" t="s">
        <v>214</v>
      </c>
      <c r="C19" s="4" t="s">
        <v>215</v>
      </c>
      <c r="D19" s="12">
        <v>1</v>
      </c>
      <c r="E19" s="4" t="s">
        <v>216</v>
      </c>
      <c r="F19" s="4" t="s">
        <v>217</v>
      </c>
      <c r="G19" s="4" t="s">
        <v>218</v>
      </c>
      <c r="H19" s="4" t="s">
        <v>85</v>
      </c>
      <c r="I19" s="16" t="s">
        <v>95</v>
      </c>
      <c r="J19" s="4" t="s">
        <v>219</v>
      </c>
      <c r="K19" s="4" t="s">
        <v>40</v>
      </c>
      <c r="L19" s="9">
        <f t="shared" si="0"/>
        <v>10</v>
      </c>
      <c r="M19" s="14">
        <v>10</v>
      </c>
      <c r="N19" s="15">
        <v>0.73799999999999999</v>
      </c>
      <c r="O19" s="10">
        <f t="shared" si="1"/>
        <v>7.38</v>
      </c>
      <c r="P19" s="9">
        <f t="shared" si="2"/>
        <v>0</v>
      </c>
      <c r="Q19" s="9">
        <f t="shared" si="3"/>
        <v>100</v>
      </c>
      <c r="R19" s="14">
        <v>100</v>
      </c>
      <c r="S19" s="15">
        <v>0.50800000000000001</v>
      </c>
      <c r="T19" s="10">
        <f t="shared" si="4"/>
        <v>50.8</v>
      </c>
      <c r="U19" s="9">
        <f t="shared" si="5"/>
        <v>0</v>
      </c>
      <c r="V19" s="9">
        <f t="shared" si="6"/>
        <v>1000</v>
      </c>
      <c r="W19" s="14">
        <v>1000</v>
      </c>
      <c r="X19" s="15">
        <v>0.373</v>
      </c>
      <c r="Y19" s="10">
        <f t="shared" si="7"/>
        <v>373</v>
      </c>
      <c r="Z19" s="9">
        <f t="shared" si="8"/>
        <v>0</v>
      </c>
      <c r="AA19" s="4" t="s">
        <v>220</v>
      </c>
      <c r="AB19" s="4" t="s">
        <v>221</v>
      </c>
      <c r="AC19" s="4" t="s">
        <v>222</v>
      </c>
    </row>
    <row r="20" spans="1:29" x14ac:dyDescent="0.3">
      <c r="A20" s="4">
        <v>19</v>
      </c>
      <c r="B20" s="4" t="s">
        <v>223</v>
      </c>
      <c r="C20" s="4" t="s">
        <v>224</v>
      </c>
      <c r="D20" s="12">
        <v>1</v>
      </c>
      <c r="E20" s="4" t="s">
        <v>225</v>
      </c>
      <c r="F20" s="4" t="s">
        <v>193</v>
      </c>
      <c r="G20" s="4" t="s">
        <v>226</v>
      </c>
      <c r="H20" s="4" t="s">
        <v>85</v>
      </c>
      <c r="I20" s="16" t="s">
        <v>95</v>
      </c>
      <c r="J20" s="4" t="s">
        <v>202</v>
      </c>
      <c r="K20" s="4" t="s">
        <v>40</v>
      </c>
      <c r="L20" s="9">
        <f t="shared" si="0"/>
        <v>10</v>
      </c>
      <c r="M20" s="14">
        <v>10</v>
      </c>
      <c r="N20" s="15">
        <v>6.0000000000000001E-3</v>
      </c>
      <c r="O20" s="10">
        <f t="shared" si="1"/>
        <v>0.06</v>
      </c>
      <c r="P20" s="9">
        <f t="shared" si="2"/>
        <v>0</v>
      </c>
      <c r="Q20" s="9">
        <f t="shared" si="3"/>
        <v>100</v>
      </c>
      <c r="R20" s="14">
        <v>100</v>
      </c>
      <c r="S20" s="15">
        <v>4.0000000000000001E-3</v>
      </c>
      <c r="T20" s="10">
        <f t="shared" si="4"/>
        <v>0.4</v>
      </c>
      <c r="U20" s="9">
        <f t="shared" si="5"/>
        <v>0</v>
      </c>
      <c r="V20" s="9">
        <f t="shared" si="6"/>
        <v>1000</v>
      </c>
      <c r="W20" s="14">
        <v>1000</v>
      </c>
      <c r="X20" s="15">
        <v>2E-3</v>
      </c>
      <c r="Y20" s="10">
        <f t="shared" si="7"/>
        <v>2</v>
      </c>
      <c r="Z20" s="9">
        <f t="shared" si="8"/>
        <v>0</v>
      </c>
      <c r="AA20" s="4" t="s">
        <v>203</v>
      </c>
      <c r="AB20" s="4"/>
      <c r="AC20" s="4" t="s">
        <v>204</v>
      </c>
    </row>
    <row r="21" spans="1:29" ht="39.6" x14ac:dyDescent="0.3">
      <c r="A21" s="4">
        <v>20</v>
      </c>
      <c r="B21" s="4" t="s">
        <v>227</v>
      </c>
      <c r="C21" s="4" t="s">
        <v>228</v>
      </c>
      <c r="D21" s="12">
        <v>1</v>
      </c>
      <c r="E21" s="4" t="s">
        <v>229</v>
      </c>
      <c r="F21" s="4" t="s">
        <v>166</v>
      </c>
      <c r="G21" s="4" t="s">
        <v>230</v>
      </c>
      <c r="H21" s="4" t="s">
        <v>85</v>
      </c>
      <c r="I21" s="16" t="s">
        <v>95</v>
      </c>
      <c r="J21" s="4" t="s">
        <v>168</v>
      </c>
      <c r="K21" s="4" t="s">
        <v>40</v>
      </c>
      <c r="L21" s="9">
        <f t="shared" si="0"/>
        <v>10</v>
      </c>
      <c r="M21" s="14">
        <v>10</v>
      </c>
      <c r="N21" s="15">
        <v>3</v>
      </c>
      <c r="O21" s="10">
        <f t="shared" si="1"/>
        <v>30</v>
      </c>
      <c r="P21" s="9">
        <f t="shared" si="2"/>
        <v>0</v>
      </c>
      <c r="Q21" s="9">
        <f t="shared" si="3"/>
        <v>100</v>
      </c>
      <c r="R21" s="14">
        <v>100</v>
      </c>
      <c r="S21" s="15">
        <v>3</v>
      </c>
      <c r="T21" s="10">
        <f t="shared" si="4"/>
        <v>300</v>
      </c>
      <c r="U21" s="9">
        <f t="shared" si="5"/>
        <v>0</v>
      </c>
      <c r="V21" s="9">
        <f t="shared" si="6"/>
        <v>1000</v>
      </c>
      <c r="W21" s="14">
        <v>1000</v>
      </c>
      <c r="X21" s="15">
        <v>3</v>
      </c>
      <c r="Y21" s="10">
        <f t="shared" si="7"/>
        <v>3000</v>
      </c>
      <c r="Z21" s="9">
        <f t="shared" si="8"/>
        <v>0</v>
      </c>
      <c r="AA21" s="4" t="s">
        <v>169</v>
      </c>
      <c r="AB21" s="4"/>
      <c r="AC21" s="4" t="s">
        <v>231</v>
      </c>
    </row>
    <row r="22" spans="1:29" ht="26.4" x14ac:dyDescent="0.3">
      <c r="A22" s="4">
        <v>21</v>
      </c>
      <c r="B22" s="4" t="s">
        <v>232</v>
      </c>
      <c r="C22" s="4" t="s">
        <v>233</v>
      </c>
      <c r="D22" s="12">
        <v>1</v>
      </c>
      <c r="E22" s="4" t="s">
        <v>234</v>
      </c>
      <c r="F22" s="4" t="s">
        <v>235</v>
      </c>
      <c r="G22" s="4" t="s">
        <v>236</v>
      </c>
      <c r="H22" s="4" t="s">
        <v>85</v>
      </c>
      <c r="I22" s="13" t="s">
        <v>86</v>
      </c>
      <c r="J22" s="4" t="s">
        <v>237</v>
      </c>
      <c r="K22" s="4" t="s">
        <v>40</v>
      </c>
      <c r="L22" s="9">
        <f t="shared" si="0"/>
        <v>10</v>
      </c>
      <c r="M22" s="14">
        <v>10</v>
      </c>
      <c r="N22" s="15">
        <v>0.13300000000000001</v>
      </c>
      <c r="O22" s="10">
        <f t="shared" si="1"/>
        <v>1.33</v>
      </c>
      <c r="P22" s="9">
        <f t="shared" si="2"/>
        <v>0</v>
      </c>
      <c r="Q22" s="9">
        <f t="shared" si="3"/>
        <v>100</v>
      </c>
      <c r="R22" s="14">
        <v>100</v>
      </c>
      <c r="S22" s="15">
        <v>0.1</v>
      </c>
      <c r="T22" s="10">
        <f t="shared" si="4"/>
        <v>10</v>
      </c>
      <c r="U22" s="9">
        <f t="shared" si="5"/>
        <v>0</v>
      </c>
      <c r="V22" s="9">
        <f t="shared" si="6"/>
        <v>1000</v>
      </c>
      <c r="W22" s="14">
        <v>1000</v>
      </c>
      <c r="X22" s="15">
        <v>8.2610000000000003E-2</v>
      </c>
      <c r="Y22" s="10">
        <f t="shared" si="7"/>
        <v>82.61</v>
      </c>
      <c r="Z22" s="9">
        <f t="shared" si="8"/>
        <v>0</v>
      </c>
      <c r="AA22" s="4" t="s">
        <v>238</v>
      </c>
      <c r="AB22" s="4" t="s">
        <v>239</v>
      </c>
      <c r="AC22" s="4" t="s">
        <v>240</v>
      </c>
    </row>
    <row r="23" spans="1:29" ht="39.6" x14ac:dyDescent="0.3">
      <c r="A23" s="4">
        <v>22</v>
      </c>
      <c r="B23" s="4" t="s">
        <v>241</v>
      </c>
      <c r="C23" s="4" t="s">
        <v>242</v>
      </c>
      <c r="D23" s="12">
        <v>1</v>
      </c>
      <c r="E23" s="4" t="s">
        <v>243</v>
      </c>
      <c r="F23" s="4" t="s">
        <v>244</v>
      </c>
      <c r="G23" s="4" t="s">
        <v>245</v>
      </c>
      <c r="H23" s="4" t="s">
        <v>158</v>
      </c>
      <c r="I23" s="13" t="s">
        <v>86</v>
      </c>
      <c r="J23" s="4" t="s">
        <v>246</v>
      </c>
      <c r="K23" s="4" t="s">
        <v>40</v>
      </c>
      <c r="L23" s="9">
        <f t="shared" si="0"/>
        <v>10</v>
      </c>
      <c r="M23" s="14">
        <v>10</v>
      </c>
      <c r="N23" s="15">
        <v>3.4870000000000001</v>
      </c>
      <c r="O23" s="10">
        <f t="shared" si="1"/>
        <v>34.870000000000005</v>
      </c>
      <c r="P23" s="9">
        <f t="shared" si="2"/>
        <v>0</v>
      </c>
      <c r="Q23" s="9">
        <f t="shared" si="3"/>
        <v>100</v>
      </c>
      <c r="R23" s="14">
        <v>100</v>
      </c>
      <c r="S23" s="15">
        <v>3.0518999999999998</v>
      </c>
      <c r="T23" s="10">
        <f t="shared" si="4"/>
        <v>305.19</v>
      </c>
      <c r="U23" s="9">
        <f t="shared" si="5"/>
        <v>0</v>
      </c>
      <c r="V23" s="9">
        <f t="shared" si="6"/>
        <v>1000</v>
      </c>
      <c r="W23" s="14">
        <v>1000</v>
      </c>
      <c r="X23" s="15">
        <v>2.7870499999999998</v>
      </c>
      <c r="Y23" s="10">
        <f t="shared" si="7"/>
        <v>2787.0499999999997</v>
      </c>
      <c r="Z23" s="9">
        <f t="shared" si="8"/>
        <v>0</v>
      </c>
      <c r="AA23" s="4" t="s">
        <v>247</v>
      </c>
      <c r="AB23" s="4" t="s">
        <v>248</v>
      </c>
      <c r="AC23" s="4" t="s">
        <v>249</v>
      </c>
    </row>
    <row r="24" spans="1:29" ht="26.4" x14ac:dyDescent="0.3">
      <c r="A24" s="4">
        <v>23</v>
      </c>
      <c r="B24" s="4" t="s">
        <v>250</v>
      </c>
      <c r="C24" s="4" t="s">
        <v>251</v>
      </c>
      <c r="D24" s="12">
        <v>3</v>
      </c>
      <c r="E24" s="4" t="s">
        <v>252</v>
      </c>
      <c r="F24" s="4" t="s">
        <v>235</v>
      </c>
      <c r="G24" s="4" t="s">
        <v>253</v>
      </c>
      <c r="H24" s="4" t="s">
        <v>158</v>
      </c>
      <c r="I24" s="13" t="s">
        <v>86</v>
      </c>
      <c r="J24" s="4" t="s">
        <v>254</v>
      </c>
      <c r="K24" s="4" t="s">
        <v>40</v>
      </c>
      <c r="L24" s="9">
        <f t="shared" si="0"/>
        <v>30</v>
      </c>
      <c r="M24" s="14">
        <v>30</v>
      </c>
      <c r="N24" s="15">
        <v>0.49440000000000001</v>
      </c>
      <c r="O24" s="10">
        <f t="shared" si="1"/>
        <v>14.832000000000001</v>
      </c>
      <c r="P24" s="9">
        <f t="shared" si="2"/>
        <v>0</v>
      </c>
      <c r="Q24" s="9">
        <f t="shared" si="3"/>
        <v>300</v>
      </c>
      <c r="R24" s="14">
        <v>300</v>
      </c>
      <c r="S24" s="15">
        <v>0.40411999999999998</v>
      </c>
      <c r="T24" s="10">
        <f t="shared" si="4"/>
        <v>121.23599999999999</v>
      </c>
      <c r="U24" s="9">
        <f t="shared" si="5"/>
        <v>0</v>
      </c>
      <c r="V24" s="9">
        <f t="shared" si="6"/>
        <v>3000</v>
      </c>
      <c r="W24" s="14">
        <v>3000</v>
      </c>
      <c r="X24" s="15">
        <v>0.3543</v>
      </c>
      <c r="Y24" s="10">
        <f t="shared" si="7"/>
        <v>1062.9000000000001</v>
      </c>
      <c r="Z24" s="9">
        <f t="shared" si="8"/>
        <v>0</v>
      </c>
      <c r="AA24" s="4" t="s">
        <v>255</v>
      </c>
      <c r="AB24" s="4" t="s">
        <v>256</v>
      </c>
      <c r="AC24" s="4" t="s">
        <v>257</v>
      </c>
    </row>
    <row r="25" spans="1:29" ht="52.8" x14ac:dyDescent="0.3">
      <c r="A25" s="4">
        <v>24</v>
      </c>
      <c r="B25" s="4" t="s">
        <v>258</v>
      </c>
      <c r="C25" s="4" t="s">
        <v>259</v>
      </c>
      <c r="D25" s="12">
        <v>1</v>
      </c>
      <c r="E25" s="4" t="s">
        <v>260</v>
      </c>
      <c r="F25" s="4" t="s">
        <v>261</v>
      </c>
      <c r="G25" s="4" t="s">
        <v>262</v>
      </c>
      <c r="H25" s="4" t="s">
        <v>158</v>
      </c>
      <c r="I25" s="13" t="s">
        <v>86</v>
      </c>
      <c r="J25" s="4" t="s">
        <v>263</v>
      </c>
      <c r="K25" s="4" t="s">
        <v>40</v>
      </c>
      <c r="L25" s="9">
        <f t="shared" si="0"/>
        <v>10</v>
      </c>
      <c r="M25" s="14">
        <v>10</v>
      </c>
      <c r="N25" s="17">
        <f>Supuestos!$B$4*Supuestos!$B$3</f>
        <v>23.721600000000002</v>
      </c>
      <c r="O25" s="10">
        <f t="shared" si="1"/>
        <v>237.21600000000001</v>
      </c>
      <c r="P25" s="9">
        <f t="shared" si="2"/>
        <v>0</v>
      </c>
      <c r="Q25" s="9">
        <f t="shared" si="3"/>
        <v>100</v>
      </c>
      <c r="R25" s="14">
        <v>100</v>
      </c>
      <c r="S25" s="17">
        <f>Supuestos!$B$5*Supuestos!$B$3</f>
        <v>21.411264000000003</v>
      </c>
      <c r="T25" s="10">
        <f t="shared" si="4"/>
        <v>2141.1264000000001</v>
      </c>
      <c r="U25" s="9">
        <f t="shared" si="5"/>
        <v>0</v>
      </c>
      <c r="V25" s="9">
        <f t="shared" si="6"/>
        <v>1000</v>
      </c>
      <c r="W25" s="14">
        <v>1000</v>
      </c>
      <c r="X25" s="17">
        <f>Supuestos!$B$6*Supuestos!$B$3</f>
        <v>21.411264000000003</v>
      </c>
      <c r="Y25" s="10">
        <f t="shared" si="7"/>
        <v>21411.264000000003</v>
      </c>
      <c r="Z25" s="9">
        <f t="shared" si="8"/>
        <v>0</v>
      </c>
      <c r="AA25" s="4" t="s">
        <v>264</v>
      </c>
      <c r="AB25" s="4" t="s">
        <v>265</v>
      </c>
      <c r="AC25" s="4" t="s">
        <v>266</v>
      </c>
    </row>
    <row r="26" spans="1:29" ht="39.6" x14ac:dyDescent="0.3">
      <c r="A26" s="4">
        <v>25</v>
      </c>
      <c r="B26" s="4" t="s">
        <v>267</v>
      </c>
      <c r="C26" s="4" t="s">
        <v>268</v>
      </c>
      <c r="D26" s="12">
        <v>1</v>
      </c>
      <c r="E26" s="4" t="s">
        <v>269</v>
      </c>
      <c r="F26" s="4" t="s">
        <v>270</v>
      </c>
      <c r="G26" s="4" t="s">
        <v>271</v>
      </c>
      <c r="H26" s="4" t="s">
        <v>158</v>
      </c>
      <c r="I26" s="13" t="s">
        <v>86</v>
      </c>
      <c r="J26" s="4" t="s">
        <v>272</v>
      </c>
      <c r="K26" s="4" t="s">
        <v>40</v>
      </c>
      <c r="L26" s="9">
        <f t="shared" si="0"/>
        <v>10</v>
      </c>
      <c r="M26" s="14">
        <v>10</v>
      </c>
      <c r="N26" s="15">
        <v>2.3780000000000001</v>
      </c>
      <c r="O26" s="10">
        <f t="shared" si="1"/>
        <v>23.78</v>
      </c>
      <c r="P26" s="9">
        <f t="shared" si="2"/>
        <v>0</v>
      </c>
      <c r="Q26" s="9">
        <f t="shared" si="3"/>
        <v>100</v>
      </c>
      <c r="R26" s="14">
        <v>100</v>
      </c>
      <c r="S26" s="15">
        <v>2.0680999999999998</v>
      </c>
      <c r="T26" s="10">
        <f t="shared" si="4"/>
        <v>206.80999999999997</v>
      </c>
      <c r="U26" s="9">
        <f t="shared" si="5"/>
        <v>0</v>
      </c>
      <c r="V26" s="9">
        <f t="shared" si="6"/>
        <v>1000</v>
      </c>
      <c r="W26" s="14">
        <v>1000</v>
      </c>
      <c r="X26" s="15">
        <v>1.8360399999999999</v>
      </c>
      <c r="Y26" s="10">
        <f t="shared" si="7"/>
        <v>1836.04</v>
      </c>
      <c r="Z26" s="9">
        <f t="shared" si="8"/>
        <v>0</v>
      </c>
      <c r="AA26" s="4" t="s">
        <v>273</v>
      </c>
      <c r="AB26" s="4" t="s">
        <v>274</v>
      </c>
      <c r="AC26" s="4" t="s">
        <v>275</v>
      </c>
    </row>
    <row r="27" spans="1:29" ht="39.6" x14ac:dyDescent="0.3">
      <c r="A27" s="4">
        <v>26</v>
      </c>
      <c r="B27" s="4" t="s">
        <v>276</v>
      </c>
      <c r="C27" s="4" t="s">
        <v>277</v>
      </c>
      <c r="D27" s="12">
        <v>2</v>
      </c>
      <c r="E27" s="4" t="s">
        <v>278</v>
      </c>
      <c r="F27" s="4" t="s">
        <v>235</v>
      </c>
      <c r="G27" s="4" t="s">
        <v>279</v>
      </c>
      <c r="H27" s="4" t="s">
        <v>85</v>
      </c>
      <c r="I27" s="13" t="s">
        <v>86</v>
      </c>
      <c r="J27" s="4" t="s">
        <v>280</v>
      </c>
      <c r="K27" s="4" t="s">
        <v>40</v>
      </c>
      <c r="L27" s="9">
        <f t="shared" si="0"/>
        <v>20</v>
      </c>
      <c r="M27" s="14">
        <v>20</v>
      </c>
      <c r="N27" s="15">
        <v>1.1080000000000001</v>
      </c>
      <c r="O27" s="10">
        <f t="shared" si="1"/>
        <v>22.160000000000004</v>
      </c>
      <c r="P27" s="9">
        <f t="shared" si="2"/>
        <v>0</v>
      </c>
      <c r="Q27" s="9">
        <f t="shared" si="3"/>
        <v>200</v>
      </c>
      <c r="R27" s="14">
        <v>200</v>
      </c>
      <c r="S27" s="15">
        <v>0.89280000000000004</v>
      </c>
      <c r="T27" s="10">
        <f t="shared" si="4"/>
        <v>178.56</v>
      </c>
      <c r="U27" s="9">
        <f t="shared" si="5"/>
        <v>0</v>
      </c>
      <c r="V27" s="9">
        <f t="shared" si="6"/>
        <v>2000</v>
      </c>
      <c r="W27" s="14">
        <v>2000</v>
      </c>
      <c r="X27" s="15">
        <v>0.82313999999999998</v>
      </c>
      <c r="Y27" s="10">
        <f t="shared" si="7"/>
        <v>1646.28</v>
      </c>
      <c r="Z27" s="9">
        <f t="shared" si="8"/>
        <v>0</v>
      </c>
      <c r="AA27" s="4" t="s">
        <v>281</v>
      </c>
      <c r="AB27" s="4" t="s">
        <v>282</v>
      </c>
      <c r="AC27" s="4" t="s">
        <v>283</v>
      </c>
    </row>
    <row r="28" spans="1:29" ht="39.6" x14ac:dyDescent="0.3">
      <c r="A28" s="4">
        <v>27</v>
      </c>
      <c r="B28" s="4" t="s">
        <v>284</v>
      </c>
      <c r="C28" s="4" t="s">
        <v>285</v>
      </c>
      <c r="D28" s="12">
        <v>1</v>
      </c>
      <c r="E28" s="4" t="s">
        <v>286</v>
      </c>
      <c r="F28" s="4" t="s">
        <v>235</v>
      </c>
      <c r="G28" s="4" t="s">
        <v>287</v>
      </c>
      <c r="H28" s="4" t="s">
        <v>85</v>
      </c>
      <c r="I28" s="13" t="s">
        <v>86</v>
      </c>
      <c r="J28" s="4" t="s">
        <v>288</v>
      </c>
      <c r="K28" s="4" t="s">
        <v>40</v>
      </c>
      <c r="L28" s="9">
        <f t="shared" si="0"/>
        <v>10</v>
      </c>
      <c r="M28" s="14">
        <v>10</v>
      </c>
      <c r="N28" s="15">
        <v>2.5310000000000001</v>
      </c>
      <c r="O28" s="10">
        <f t="shared" si="1"/>
        <v>25.310000000000002</v>
      </c>
      <c r="P28" s="9">
        <f t="shared" si="2"/>
        <v>0</v>
      </c>
      <c r="Q28" s="9">
        <f t="shared" si="3"/>
        <v>100</v>
      </c>
      <c r="R28" s="14">
        <v>100</v>
      </c>
      <c r="S28" s="15">
        <v>2.0912999999999999</v>
      </c>
      <c r="T28" s="10">
        <f t="shared" si="4"/>
        <v>209.13</v>
      </c>
      <c r="U28" s="9">
        <f t="shared" si="5"/>
        <v>0</v>
      </c>
      <c r="V28" s="9">
        <f t="shared" si="6"/>
        <v>1000</v>
      </c>
      <c r="W28" s="14">
        <v>1000</v>
      </c>
      <c r="X28" s="15">
        <v>1.8609</v>
      </c>
      <c r="Y28" s="10">
        <f t="shared" si="7"/>
        <v>1860.9</v>
      </c>
      <c r="Z28" s="9">
        <f t="shared" si="8"/>
        <v>0</v>
      </c>
      <c r="AA28" s="4" t="s">
        <v>289</v>
      </c>
      <c r="AB28" s="4" t="s">
        <v>290</v>
      </c>
      <c r="AC28" s="4" t="s">
        <v>291</v>
      </c>
    </row>
    <row r="29" spans="1:29" x14ac:dyDescent="0.3">
      <c r="A29" s="7" t="s">
        <v>292</v>
      </c>
      <c r="D29" s="7">
        <f>SUM(D2:D28)</f>
        <v>86</v>
      </c>
      <c r="O29" s="18">
        <f>SUM(O2:O28)</f>
        <v>712.12899999999991</v>
      </c>
      <c r="T29" s="18">
        <f>SUM(T2:T28)</f>
        <v>5655.0304000000015</v>
      </c>
      <c r="Y29" s="18">
        <f>SUM(Y2:Y28)</f>
        <v>49551.944000000003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zoomScaleNormal="100" workbookViewId="0"/>
  </sheetViews>
  <sheetFormatPr baseColWidth="10" defaultColWidth="8.6640625" defaultRowHeight="14.4" x14ac:dyDescent="0.3"/>
  <cols>
    <col min="1" max="1" width="28" customWidth="1"/>
    <col min="2" max="2" width="30" customWidth="1"/>
    <col min="3" max="3" width="95" customWidth="1"/>
    <col min="4" max="4" width="50" customWidth="1"/>
  </cols>
  <sheetData>
    <row r="1" spans="1:4" x14ac:dyDescent="0.3">
      <c r="A1" s="11" t="s">
        <v>18</v>
      </c>
      <c r="B1" s="11" t="s">
        <v>293</v>
      </c>
      <c r="C1" s="11" t="s">
        <v>294</v>
      </c>
      <c r="D1" s="11" t="s">
        <v>295</v>
      </c>
    </row>
    <row r="2" spans="1:4" x14ac:dyDescent="0.3">
      <c r="A2" s="4" t="s">
        <v>262</v>
      </c>
      <c r="B2" s="4" t="s">
        <v>296</v>
      </c>
      <c r="C2" s="4" t="s">
        <v>265</v>
      </c>
      <c r="D2" s="4" t="s">
        <v>297</v>
      </c>
    </row>
    <row r="3" spans="1:4" x14ac:dyDescent="0.3">
      <c r="A3" s="4" t="s">
        <v>245</v>
      </c>
      <c r="B3" s="4" t="s">
        <v>298</v>
      </c>
      <c r="C3" s="4" t="s">
        <v>248</v>
      </c>
      <c r="D3" s="4" t="s">
        <v>299</v>
      </c>
    </row>
    <row r="4" spans="1:4" x14ac:dyDescent="0.3">
      <c r="A4" s="4" t="s">
        <v>271</v>
      </c>
      <c r="B4" s="4" t="s">
        <v>298</v>
      </c>
      <c r="C4" s="4" t="s">
        <v>274</v>
      </c>
      <c r="D4" s="4" t="s">
        <v>299</v>
      </c>
    </row>
    <row r="5" spans="1:4" x14ac:dyDescent="0.3">
      <c r="A5" s="4" t="s">
        <v>253</v>
      </c>
      <c r="B5" s="4" t="s">
        <v>298</v>
      </c>
      <c r="C5" s="4" t="s">
        <v>256</v>
      </c>
      <c r="D5" s="4" t="s">
        <v>300</v>
      </c>
    </row>
    <row r="6" spans="1:4" ht="26.4" x14ac:dyDescent="0.3">
      <c r="A6" s="4" t="s">
        <v>287</v>
      </c>
      <c r="B6" s="4" t="s">
        <v>301</v>
      </c>
      <c r="C6" s="4" t="s">
        <v>290</v>
      </c>
      <c r="D6" s="4" t="s">
        <v>302</v>
      </c>
    </row>
    <row r="7" spans="1:4" x14ac:dyDescent="0.3">
      <c r="A7" s="4" t="s">
        <v>236</v>
      </c>
      <c r="B7" s="4" t="s">
        <v>298</v>
      </c>
      <c r="C7" s="4" t="s">
        <v>239</v>
      </c>
      <c r="D7" s="4" t="s">
        <v>299</v>
      </c>
    </row>
    <row r="8" spans="1:4" x14ac:dyDescent="0.3">
      <c r="A8" s="4" t="s">
        <v>279</v>
      </c>
      <c r="B8" s="4" t="s">
        <v>298</v>
      </c>
      <c r="C8" s="4" t="s">
        <v>282</v>
      </c>
      <c r="D8" s="4" t="s">
        <v>299</v>
      </c>
    </row>
    <row r="9" spans="1:4" x14ac:dyDescent="0.3">
      <c r="A9" s="4" t="s">
        <v>175</v>
      </c>
      <c r="B9" s="4" t="s">
        <v>303</v>
      </c>
      <c r="C9" s="4" t="s">
        <v>179</v>
      </c>
      <c r="D9" s="4" t="s">
        <v>304</v>
      </c>
    </row>
    <row r="10" spans="1:4" x14ac:dyDescent="0.3">
      <c r="A10" s="4" t="s">
        <v>175</v>
      </c>
      <c r="B10" s="4" t="s">
        <v>305</v>
      </c>
      <c r="C10" s="4" t="s">
        <v>306</v>
      </c>
      <c r="D10" s="4" t="s">
        <v>307</v>
      </c>
    </row>
    <row r="11" spans="1:4" x14ac:dyDescent="0.3">
      <c r="A11" s="4" t="s">
        <v>185</v>
      </c>
      <c r="B11" s="4" t="s">
        <v>308</v>
      </c>
      <c r="C11" s="4" t="s">
        <v>188</v>
      </c>
      <c r="D11" s="4" t="s">
        <v>309</v>
      </c>
    </row>
    <row r="12" spans="1:4" x14ac:dyDescent="0.3">
      <c r="A12" s="4" t="s">
        <v>185</v>
      </c>
      <c r="B12" s="4" t="s">
        <v>310</v>
      </c>
      <c r="C12" s="4" t="s">
        <v>311</v>
      </c>
      <c r="D12" s="4" t="s">
        <v>312</v>
      </c>
    </row>
    <row r="13" spans="1:4" x14ac:dyDescent="0.3">
      <c r="A13" s="4" t="s">
        <v>157</v>
      </c>
      <c r="B13" s="4" t="s">
        <v>313</v>
      </c>
      <c r="C13" s="4" t="s">
        <v>161</v>
      </c>
      <c r="D13" s="4" t="s">
        <v>314</v>
      </c>
    </row>
    <row r="14" spans="1:4" x14ac:dyDescent="0.3">
      <c r="A14" s="4" t="s">
        <v>157</v>
      </c>
      <c r="B14" s="4" t="s">
        <v>315</v>
      </c>
      <c r="C14" s="4" t="s">
        <v>316</v>
      </c>
      <c r="D14" s="4" t="s">
        <v>317</v>
      </c>
    </row>
    <row r="15" spans="1:4" x14ac:dyDescent="0.3">
      <c r="A15" s="4" t="s">
        <v>84</v>
      </c>
      <c r="B15" s="4" t="s">
        <v>318</v>
      </c>
      <c r="C15" s="4" t="s">
        <v>89</v>
      </c>
      <c r="D15" s="4" t="s">
        <v>319</v>
      </c>
    </row>
    <row r="16" spans="1:4" x14ac:dyDescent="0.3">
      <c r="A16" s="4" t="s">
        <v>147</v>
      </c>
      <c r="B16" s="4" t="s">
        <v>320</v>
      </c>
      <c r="C16" s="4" t="s">
        <v>151</v>
      </c>
      <c r="D16" s="4" t="s">
        <v>321</v>
      </c>
    </row>
    <row r="17" spans="1:4" x14ac:dyDescent="0.3">
      <c r="A17" s="4" t="s">
        <v>139</v>
      </c>
      <c r="B17" s="4" t="s">
        <v>322</v>
      </c>
      <c r="C17" s="4" t="s">
        <v>142</v>
      </c>
      <c r="D17" s="4" t="s">
        <v>323</v>
      </c>
    </row>
    <row r="18" spans="1:4" x14ac:dyDescent="0.3">
      <c r="A18" s="4" t="s">
        <v>324</v>
      </c>
      <c r="B18" s="4" t="s">
        <v>325</v>
      </c>
      <c r="C18" s="4" t="s">
        <v>221</v>
      </c>
      <c r="D18" s="4" t="s">
        <v>326</v>
      </c>
    </row>
    <row r="19" spans="1:4" x14ac:dyDescent="0.3">
      <c r="A19" s="4" t="s">
        <v>327</v>
      </c>
      <c r="B19" s="4" t="s">
        <v>328</v>
      </c>
      <c r="C19" s="4" t="s">
        <v>212</v>
      </c>
      <c r="D19" s="4" t="s">
        <v>329</v>
      </c>
    </row>
    <row r="20" spans="1:4" x14ac:dyDescent="0.3">
      <c r="A20" s="4" t="s">
        <v>330</v>
      </c>
      <c r="B20" s="4" t="s">
        <v>331</v>
      </c>
      <c r="C20" s="4" t="s">
        <v>332</v>
      </c>
      <c r="D20" s="4" t="s">
        <v>333</v>
      </c>
    </row>
    <row r="21" spans="1:4" x14ac:dyDescent="0.3">
      <c r="A21" s="4" t="s">
        <v>116</v>
      </c>
      <c r="B21" s="4" t="s">
        <v>334</v>
      </c>
      <c r="C21" s="4" t="s">
        <v>119</v>
      </c>
      <c r="D21" s="4" t="s">
        <v>335</v>
      </c>
    </row>
    <row r="22" spans="1:4" x14ac:dyDescent="0.3">
      <c r="A22" s="4" t="s">
        <v>336</v>
      </c>
      <c r="B22" s="4" t="s">
        <v>337</v>
      </c>
      <c r="C22" s="4" t="s">
        <v>338</v>
      </c>
      <c r="D22" s="4" t="s">
        <v>339</v>
      </c>
    </row>
    <row r="23" spans="1:4" x14ac:dyDescent="0.3">
      <c r="A23" s="4" t="s">
        <v>31</v>
      </c>
      <c r="B23" s="4" t="s">
        <v>340</v>
      </c>
      <c r="C23" s="4" t="s">
        <v>341</v>
      </c>
      <c r="D23" s="4" t="s">
        <v>342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Resumen</vt:lpstr>
      <vt:lpstr>Supuestos</vt:lpstr>
      <vt:lpstr>BOM_Costos</vt:lpstr>
      <vt:lpstr>Fuentes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JESUS SEBASTIAN MENDOZA MENDOZA</cp:lastModifiedBy>
  <cp:revision>1</cp:revision>
  <dcterms:created xsi:type="dcterms:W3CDTF">2026-10-26T23:27:25Z</dcterms:created>
  <dcterms:modified xsi:type="dcterms:W3CDTF">2026-10-27T03:10:32Z</dcterms:modified>
  <dc:language>en-US</dc:language>
</cp:coreProperties>
</file>